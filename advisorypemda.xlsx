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APK\Makalah\"/>
    </mc:Choice>
  </mc:AlternateContent>
  <xr:revisionPtr revIDLastSave="0" documentId="13_ncr:1_{80AB7CB3-D4DE-4745-883C-3DF291195B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dif_dcc" sheetId="1" r:id="rId1"/>
  </sheets>
  <definedNames>
    <definedName name="_xlnm._FilterDatabase" localSheetId="0" hidden="1">modif_dcc!$A$1:$AA$91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0" i="1" l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2" i="1"/>
  <c r="K20" i="1" l="1"/>
  <c r="K2" i="1"/>
</calcChain>
</file>

<file path=xl/sharedStrings.xml><?xml version="1.0" encoding="utf-8"?>
<sst xmlns="http://schemas.openxmlformats.org/spreadsheetml/2006/main" count="135" uniqueCount="46">
  <si>
    <t>Tahun</t>
  </si>
  <si>
    <t>Pemda</t>
  </si>
  <si>
    <t>IKF</t>
  </si>
  <si>
    <t>DCC</t>
  </si>
  <si>
    <t>solvabilitas</t>
  </si>
  <si>
    <t>likuiditas</t>
  </si>
  <si>
    <t>b_peg</t>
  </si>
  <si>
    <t>b_mdl</t>
  </si>
  <si>
    <t>TLRHP Y-1_Sesuai</t>
  </si>
  <si>
    <t>%lunas_rugi(t-1)</t>
  </si>
  <si>
    <t>Opini Y-1</t>
  </si>
  <si>
    <t>Opini (Y)</t>
  </si>
  <si>
    <t>Banyuasin</t>
  </si>
  <si>
    <t>Empatlawang</t>
  </si>
  <si>
    <t>Lahat</t>
  </si>
  <si>
    <t>Lubuklinggau</t>
  </si>
  <si>
    <t>Ma_Enim</t>
  </si>
  <si>
    <t>Muba</t>
  </si>
  <si>
    <t>Mura</t>
  </si>
  <si>
    <t>Muratara</t>
  </si>
  <si>
    <t>OI</t>
  </si>
  <si>
    <t>OKI</t>
  </si>
  <si>
    <t>OKU</t>
  </si>
  <si>
    <t>OKUS</t>
  </si>
  <si>
    <t>OKUT</t>
  </si>
  <si>
    <t>Pagaralam</t>
  </si>
  <si>
    <t>Palembang</t>
  </si>
  <si>
    <t>Pali</t>
  </si>
  <si>
    <t>Prabumulih</t>
  </si>
  <si>
    <t>Sumsel</t>
  </si>
  <si>
    <t>?</t>
  </si>
  <si>
    <t>IKF Y-1</t>
  </si>
  <si>
    <t>%GrwthIKF</t>
  </si>
  <si>
    <t>DCC Y-1</t>
  </si>
  <si>
    <t>Solv Y-1</t>
  </si>
  <si>
    <t>%GrwthDCC</t>
  </si>
  <si>
    <t>%GrwthSolv</t>
  </si>
  <si>
    <t>Likuiditas Y-1</t>
  </si>
  <si>
    <t>%GrwtLikuid</t>
  </si>
  <si>
    <t>b_peg Y-1</t>
  </si>
  <si>
    <t>%Grwthb_peg</t>
  </si>
  <si>
    <t>b_modal Y-1</t>
  </si>
  <si>
    <t>%GrwthB_modal</t>
  </si>
  <si>
    <t>b_barjas</t>
  </si>
  <si>
    <t>b_barjas Y-1</t>
  </si>
  <si>
    <t>%Grwthb_barjas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</si>
</sst>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.0000_);_(* \(#,##0.0000\);_(* &quot;-&quot;??_);_(@_)"/>
  </numFmts>
  <fonts count="5" x14ac:knownFonts="1">
    <font>
      <sz val="11"/>
      <color theme="1"/>
      <name val="Calibri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/>
    <xf numFmtId="0" fontId="2" fillId="3" borderId="0" xfId="0" applyFont="1" applyFill="1"/>
    <xf numFmtId="0" fontId="2" fillId="4" borderId="0" xfId="0" applyFont="1" applyFill="1" applyAlignment="1"/>
    <xf numFmtId="0" fontId="2" fillId="4" borderId="0" xfId="0" applyFont="1" applyFill="1"/>
    <xf numFmtId="166" fontId="1" fillId="2" borderId="0" xfId="1" applyNumberFormat="1" applyFont="1" applyFill="1" applyAlignment="1">
      <alignment horizontal="center"/>
    </xf>
    <xf numFmtId="166" fontId="0" fillId="0" borderId="0" xfId="1" applyNumberFormat="1" applyFont="1" applyAlignment="1"/>
    <xf numFmtId="2" fontId="2" fillId="3" borderId="0" xfId="0" applyNumberFormat="1" applyFont="1" applyFill="1"/>
    <xf numFmtId="2" fontId="2" fillId="3" borderId="0" xfId="1" applyNumberFormat="1" applyFont="1" applyFill="1"/>
    <xf numFmtId="2" fontId="2" fillId="4" borderId="0" xfId="0" applyNumberFormat="1" applyFont="1" applyFill="1"/>
    <xf numFmtId="2" fontId="2" fillId="4" borderId="0" xfId="1" applyNumberFormat="1" applyFont="1" applyFill="1"/>
    <xf numFmtId="2" fontId="4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82"/>
  <sheetViews>
    <sheetView tabSelected="1" workbookViewId="0">
      <selection activeCell="E2" sqref="E2:AA91"/>
    </sheetView>
  </sheetViews>
  <sheetFormatPr defaultColWidth="14.42578125" defaultRowHeight="15" customHeight="1" x14ac:dyDescent="0.25"/>
  <cols>
    <col min="1" max="1" width="8.7109375" customWidth="1"/>
    <col min="2" max="2" width="25.28515625" customWidth="1"/>
    <col min="3" max="3" width="13" bestFit="1" customWidth="1"/>
    <col min="4" max="4" width="16.140625" style="8" bestFit="1" customWidth="1"/>
    <col min="5" max="5" width="20.140625" bestFit="1" customWidth="1"/>
    <col min="6" max="8" width="12.85546875" customWidth="1"/>
    <col min="9" max="10" width="8.7109375" customWidth="1"/>
    <col min="11" max="11" width="16.140625" bestFit="1" customWidth="1"/>
    <col min="12" max="14" width="13.7109375" customWidth="1"/>
    <col min="15" max="17" width="14" customWidth="1"/>
    <col min="18" max="23" width="8.7109375" customWidth="1"/>
    <col min="24" max="24" width="19.28515625" customWidth="1"/>
    <col min="25" max="25" width="18.28515625" customWidth="1"/>
    <col min="26" max="26" width="15.85546875" customWidth="1"/>
    <col min="27" max="27" width="23.140625" customWidth="1"/>
    <col min="28" max="37" width="8.7109375" customWidth="1"/>
  </cols>
  <sheetData>
    <row r="1" spans="1:27" x14ac:dyDescent="0.25">
      <c r="A1" s="1" t="s">
        <v>0</v>
      </c>
      <c r="B1" s="1" t="s">
        <v>1</v>
      </c>
      <c r="C1" s="2" t="s">
        <v>43</v>
      </c>
      <c r="D1" s="7" t="s">
        <v>44</v>
      </c>
      <c r="E1" s="2" t="s">
        <v>45</v>
      </c>
      <c r="F1" s="1" t="s">
        <v>2</v>
      </c>
      <c r="G1" s="2" t="s">
        <v>31</v>
      </c>
      <c r="H1" s="2" t="s">
        <v>32</v>
      </c>
      <c r="I1" s="1" t="s">
        <v>3</v>
      </c>
      <c r="J1" s="2" t="s">
        <v>33</v>
      </c>
      <c r="K1" s="2" t="s">
        <v>35</v>
      </c>
      <c r="L1" s="1" t="s">
        <v>4</v>
      </c>
      <c r="M1" s="2" t="s">
        <v>34</v>
      </c>
      <c r="N1" s="2" t="s">
        <v>36</v>
      </c>
      <c r="O1" s="1" t="s">
        <v>5</v>
      </c>
      <c r="P1" s="2" t="s">
        <v>37</v>
      </c>
      <c r="Q1" s="2" t="s">
        <v>38</v>
      </c>
      <c r="R1" s="1" t="s">
        <v>6</v>
      </c>
      <c r="S1" s="2" t="s">
        <v>39</v>
      </c>
      <c r="T1" s="2" t="s">
        <v>40</v>
      </c>
      <c r="U1" s="1" t="s">
        <v>7</v>
      </c>
      <c r="V1" s="2" t="s">
        <v>41</v>
      </c>
      <c r="W1" s="2" t="s">
        <v>42</v>
      </c>
      <c r="X1" s="2" t="s">
        <v>8</v>
      </c>
      <c r="Y1" s="2" t="s">
        <v>9</v>
      </c>
      <c r="Z1" s="1" t="s">
        <v>10</v>
      </c>
      <c r="AA1" s="1" t="s">
        <v>11</v>
      </c>
    </row>
    <row r="2" spans="1:27" x14ac:dyDescent="0.25">
      <c r="A2" s="3">
        <v>2021</v>
      </c>
      <c r="B2" s="4" t="s">
        <v>12</v>
      </c>
      <c r="C2" s="9">
        <v>0.2464988146352893</v>
      </c>
      <c r="D2" s="10">
        <v>0.14643148854462057</v>
      </c>
      <c r="E2" s="9">
        <f>IF((C2&gt;D2),2,1)</f>
        <v>2</v>
      </c>
      <c r="F2" s="10">
        <v>0.1</v>
      </c>
      <c r="G2" s="9">
        <v>0.09</v>
      </c>
      <c r="H2" s="10">
        <f>IF((F2&gt;G2),2,1)</f>
        <v>2</v>
      </c>
      <c r="I2" s="9">
        <f>((1.437)/365)*365</f>
        <v>1.4370000000000001</v>
      </c>
      <c r="J2" s="10">
        <v>26.900616015897135</v>
      </c>
      <c r="K2" s="9">
        <f>IF((I2&gt;J2),2,1)</f>
        <v>1</v>
      </c>
      <c r="L2" s="10">
        <v>0.98</v>
      </c>
      <c r="M2" s="9">
        <v>0.87</v>
      </c>
      <c r="N2" s="10">
        <f>IF((L2&gt;M2),2,1)</f>
        <v>2</v>
      </c>
      <c r="O2" s="9">
        <v>0.1</v>
      </c>
      <c r="P2" s="10">
        <v>7.0000000000000007E-2</v>
      </c>
      <c r="Q2" s="9">
        <f>IF((O2&gt;P2),2,1)</f>
        <v>2</v>
      </c>
      <c r="R2" s="10">
        <v>0.32632592330080679</v>
      </c>
      <c r="S2" s="9">
        <v>0.28907664701585617</v>
      </c>
      <c r="T2" s="10">
        <f>IF((R2&gt;S2),2,1)</f>
        <v>2</v>
      </c>
      <c r="U2" s="9">
        <v>0.19059218177666823</v>
      </c>
      <c r="V2" s="10">
        <v>0.22847681527502917</v>
      </c>
      <c r="W2" s="9">
        <f>IF((U2&gt;V2),2,1)</f>
        <v>1</v>
      </c>
      <c r="X2" s="10">
        <v>0.72499999999999998</v>
      </c>
      <c r="Y2" s="9">
        <v>0.25</v>
      </c>
      <c r="Z2" s="10">
        <v>3</v>
      </c>
      <c r="AA2" s="9">
        <v>3</v>
      </c>
    </row>
    <row r="3" spans="1:27" ht="15.75" customHeight="1" x14ac:dyDescent="0.25">
      <c r="A3" s="5">
        <v>2021</v>
      </c>
      <c r="B3" s="6" t="s">
        <v>13</v>
      </c>
      <c r="C3" s="11">
        <v>0.27149312587220914</v>
      </c>
      <c r="D3" s="12">
        <v>0.35353505172591504</v>
      </c>
      <c r="E3" s="11">
        <f t="shared" ref="E3:E66" si="0">IF((C3&gt;D3),2,1)</f>
        <v>1</v>
      </c>
      <c r="F3" s="12">
        <v>0.03</v>
      </c>
      <c r="G3" s="11">
        <v>0.03</v>
      </c>
      <c r="H3" s="12">
        <f t="shared" ref="H3:H66" si="1">IF((F3&gt;G3),2,1)</f>
        <v>1</v>
      </c>
      <c r="I3" s="11">
        <v>6.870000000000001</v>
      </c>
      <c r="J3" s="12">
        <v>8.7528547878230203</v>
      </c>
      <c r="K3" s="11">
        <f t="shared" ref="K3:K66" si="2">IF((I3&gt;J3),2,1)</f>
        <v>1</v>
      </c>
      <c r="L3" s="12">
        <v>0.91</v>
      </c>
      <c r="M3" s="11">
        <v>1</v>
      </c>
      <c r="N3" s="12">
        <f t="shared" ref="N3:N66" si="3">IF((L3&gt;M3),2,1)</f>
        <v>1</v>
      </c>
      <c r="O3" s="11">
        <v>1.08</v>
      </c>
      <c r="P3" s="12">
        <v>2.0299999999999998</v>
      </c>
      <c r="Q3" s="11">
        <f t="shared" ref="Q3:Q66" si="4">IF((O3&gt;P3),2,1)</f>
        <v>1</v>
      </c>
      <c r="R3" s="12">
        <v>0.24259952200443308</v>
      </c>
      <c r="S3" s="11">
        <v>0.247754599439276</v>
      </c>
      <c r="T3" s="12">
        <f t="shared" ref="T3:T66" si="5">IF((R3&gt;S3),2,1)</f>
        <v>1</v>
      </c>
      <c r="U3" s="11">
        <v>0.32842034247124358</v>
      </c>
      <c r="V3" s="12">
        <v>0.26067328750804397</v>
      </c>
      <c r="W3" s="11">
        <f t="shared" ref="W3:W66" si="6">IF((U3&gt;V3),2,1)</f>
        <v>2</v>
      </c>
      <c r="X3" s="12">
        <v>0.53900000000000003</v>
      </c>
      <c r="Y3" s="11">
        <v>0.25</v>
      </c>
      <c r="Z3" s="12">
        <v>3</v>
      </c>
      <c r="AA3" s="11">
        <v>3</v>
      </c>
    </row>
    <row r="4" spans="1:27" ht="15.75" customHeight="1" x14ac:dyDescent="0.25">
      <c r="A4" s="3">
        <v>2021</v>
      </c>
      <c r="B4" s="4" t="s">
        <v>14</v>
      </c>
      <c r="C4" s="9">
        <v>0.24323030662099085</v>
      </c>
      <c r="D4" s="10">
        <v>0.23404714928775641</v>
      </c>
      <c r="E4" s="9">
        <f t="shared" si="0"/>
        <v>2</v>
      </c>
      <c r="F4" s="10">
        <v>7.0000000000000007E-2</v>
      </c>
      <c r="G4" s="9">
        <v>7.0000000000000007E-2</v>
      </c>
      <c r="H4" s="10">
        <f t="shared" si="1"/>
        <v>1</v>
      </c>
      <c r="I4" s="9">
        <v>49.625999999999998</v>
      </c>
      <c r="J4" s="10">
        <v>52.272071496992062</v>
      </c>
      <c r="K4" s="9">
        <f t="shared" si="2"/>
        <v>1</v>
      </c>
      <c r="L4" s="10">
        <v>1.04</v>
      </c>
      <c r="M4" s="9">
        <v>0.97</v>
      </c>
      <c r="N4" s="10">
        <f t="shared" si="3"/>
        <v>2</v>
      </c>
      <c r="O4" s="9">
        <v>46.96</v>
      </c>
      <c r="P4" s="10">
        <v>31.75</v>
      </c>
      <c r="Q4" s="9">
        <f t="shared" si="4"/>
        <v>2</v>
      </c>
      <c r="R4" s="10">
        <v>0.2928099589344651</v>
      </c>
      <c r="S4" s="9">
        <v>0.30216024049393592</v>
      </c>
      <c r="T4" s="10">
        <f t="shared" si="5"/>
        <v>1</v>
      </c>
      <c r="U4" s="9">
        <v>0.224443318150542</v>
      </c>
      <c r="V4" s="10">
        <v>0.18331330272727137</v>
      </c>
      <c r="W4" s="9">
        <f t="shared" si="6"/>
        <v>2</v>
      </c>
      <c r="X4" s="10">
        <v>0.75</v>
      </c>
      <c r="Y4" s="9">
        <v>0.35</v>
      </c>
      <c r="Z4" s="10">
        <v>3</v>
      </c>
      <c r="AA4" s="9">
        <v>3</v>
      </c>
    </row>
    <row r="5" spans="1:27" ht="15.75" customHeight="1" x14ac:dyDescent="0.25">
      <c r="A5" s="5">
        <v>2021</v>
      </c>
      <c r="B5" s="6" t="s">
        <v>15</v>
      </c>
      <c r="C5" s="11">
        <v>0.27022065409060386</v>
      </c>
      <c r="D5" s="12">
        <v>0.23505931604447916</v>
      </c>
      <c r="E5" s="11">
        <f t="shared" si="0"/>
        <v>2</v>
      </c>
      <c r="F5" s="12">
        <v>0.13</v>
      </c>
      <c r="G5" s="11">
        <v>0.1</v>
      </c>
      <c r="H5" s="12">
        <f t="shared" si="1"/>
        <v>2</v>
      </c>
      <c r="I5" s="11">
        <v>0.82595396932144427</v>
      </c>
      <c r="J5" s="12">
        <v>41.624322146094549</v>
      </c>
      <c r="K5" s="11">
        <f t="shared" si="2"/>
        <v>1</v>
      </c>
      <c r="L5" s="12">
        <v>1.01</v>
      </c>
      <c r="M5" s="11">
        <v>0.98</v>
      </c>
      <c r="N5" s="12">
        <f t="shared" si="3"/>
        <v>2</v>
      </c>
      <c r="O5" s="11">
        <v>19.3</v>
      </c>
      <c r="P5" s="12">
        <v>8.73</v>
      </c>
      <c r="Q5" s="11">
        <f t="shared" si="4"/>
        <v>2</v>
      </c>
      <c r="R5" s="12">
        <v>0.36521440700835595</v>
      </c>
      <c r="S5" s="11">
        <v>0.29750391257402886</v>
      </c>
      <c r="T5" s="12">
        <f t="shared" si="5"/>
        <v>2</v>
      </c>
      <c r="U5" s="11">
        <v>0.34940124445664711</v>
      </c>
      <c r="V5" s="12">
        <v>0.21576898985354298</v>
      </c>
      <c r="W5" s="11">
        <f t="shared" si="6"/>
        <v>2</v>
      </c>
      <c r="X5" s="12">
        <v>0.80700000000000005</v>
      </c>
      <c r="Y5" s="11">
        <v>0.05</v>
      </c>
      <c r="Z5" s="12">
        <v>3</v>
      </c>
      <c r="AA5" s="11">
        <v>3</v>
      </c>
    </row>
    <row r="6" spans="1:27" ht="15.75" customHeight="1" x14ac:dyDescent="0.25">
      <c r="A6" s="3">
        <v>2021</v>
      </c>
      <c r="B6" s="4" t="s">
        <v>16</v>
      </c>
      <c r="C6" s="9">
        <v>0.29803153869449528</v>
      </c>
      <c r="D6" s="10">
        <v>0.28276873556902488</v>
      </c>
      <c r="E6" s="9">
        <f t="shared" si="0"/>
        <v>2</v>
      </c>
      <c r="F6" s="10">
        <v>0.09</v>
      </c>
      <c r="G6" s="9">
        <v>0.1</v>
      </c>
      <c r="H6" s="10">
        <f t="shared" si="1"/>
        <v>1</v>
      </c>
      <c r="I6" s="9">
        <v>40.194751948627626</v>
      </c>
      <c r="J6" s="10">
        <v>111.74541066038421</v>
      </c>
      <c r="K6" s="9">
        <f t="shared" si="2"/>
        <v>1</v>
      </c>
      <c r="L6" s="10">
        <v>1.1399999999999999</v>
      </c>
      <c r="M6" s="9">
        <v>1.05</v>
      </c>
      <c r="N6" s="10">
        <f t="shared" si="3"/>
        <v>2</v>
      </c>
      <c r="O6" s="9">
        <v>0.82</v>
      </c>
      <c r="P6" s="10">
        <v>4.66</v>
      </c>
      <c r="Q6" s="9">
        <f t="shared" si="4"/>
        <v>1</v>
      </c>
      <c r="R6" s="10">
        <v>0.3317873622964736</v>
      </c>
      <c r="S6" s="9">
        <v>0.23910987457752472</v>
      </c>
      <c r="T6" s="10">
        <f t="shared" si="5"/>
        <v>2</v>
      </c>
      <c r="U6" s="9">
        <v>0.17930573100691399</v>
      </c>
      <c r="V6" s="10">
        <v>0.23410407430013247</v>
      </c>
      <c r="W6" s="9">
        <f t="shared" si="6"/>
        <v>1</v>
      </c>
      <c r="X6" s="10">
        <v>0.67</v>
      </c>
      <c r="Y6" s="9">
        <v>0.3</v>
      </c>
      <c r="Z6" s="10">
        <v>3</v>
      </c>
      <c r="AA6" s="9">
        <v>3</v>
      </c>
    </row>
    <row r="7" spans="1:27" ht="15.75" customHeight="1" x14ac:dyDescent="0.25">
      <c r="A7" s="5">
        <v>2021</v>
      </c>
      <c r="B7" s="6" t="s">
        <v>17</v>
      </c>
      <c r="C7" s="11">
        <v>0.33090048779279563</v>
      </c>
      <c r="D7" s="12">
        <v>0.23944043814371582</v>
      </c>
      <c r="E7" s="11">
        <f t="shared" si="0"/>
        <v>2</v>
      </c>
      <c r="F7" s="12">
        <v>0.11</v>
      </c>
      <c r="G7" s="11">
        <v>0.09</v>
      </c>
      <c r="H7" s="12">
        <f t="shared" si="1"/>
        <v>2</v>
      </c>
      <c r="I7" s="11">
        <v>64.276988856542559</v>
      </c>
      <c r="J7" s="12">
        <v>26.045519751096329</v>
      </c>
      <c r="K7" s="11">
        <f t="shared" si="2"/>
        <v>2</v>
      </c>
      <c r="L7" s="12">
        <v>0.92</v>
      </c>
      <c r="M7" s="11">
        <v>0.96</v>
      </c>
      <c r="N7" s="12">
        <f t="shared" si="3"/>
        <v>1</v>
      </c>
      <c r="O7" s="11">
        <v>5.13</v>
      </c>
      <c r="P7" s="12">
        <v>5.7</v>
      </c>
      <c r="Q7" s="11">
        <f t="shared" si="4"/>
        <v>1</v>
      </c>
      <c r="R7" s="12">
        <v>0.24850854751824039</v>
      </c>
      <c r="S7" s="11">
        <v>0.30447686628206044</v>
      </c>
      <c r="T7" s="12">
        <f t="shared" si="5"/>
        <v>1</v>
      </c>
      <c r="U7" s="11">
        <v>0.28598711814169825</v>
      </c>
      <c r="V7" s="12">
        <v>0.21574939406212634</v>
      </c>
      <c r="W7" s="11">
        <f t="shared" si="6"/>
        <v>2</v>
      </c>
      <c r="X7" s="12">
        <v>0.73</v>
      </c>
      <c r="Y7" s="11">
        <v>0.15</v>
      </c>
      <c r="Z7" s="12">
        <v>3</v>
      </c>
      <c r="AA7" s="11">
        <v>1</v>
      </c>
    </row>
    <row r="8" spans="1:27" ht="15.75" customHeight="1" x14ac:dyDescent="0.25">
      <c r="A8" s="3">
        <v>2021</v>
      </c>
      <c r="B8" s="4" t="s">
        <v>18</v>
      </c>
      <c r="C8" s="9">
        <v>0.25427093678488977</v>
      </c>
      <c r="D8" s="10">
        <v>0.2517211382499952</v>
      </c>
      <c r="E8" s="9">
        <f t="shared" si="0"/>
        <v>2</v>
      </c>
      <c r="F8" s="10">
        <v>0.09</v>
      </c>
      <c r="G8" s="9">
        <v>0.05</v>
      </c>
      <c r="H8" s="10">
        <f t="shared" si="1"/>
        <v>2</v>
      </c>
      <c r="I8" s="9">
        <v>25.07411551848444</v>
      </c>
      <c r="J8" s="10">
        <v>5.3253769723289528</v>
      </c>
      <c r="K8" s="9">
        <f t="shared" si="2"/>
        <v>2</v>
      </c>
      <c r="L8" s="10">
        <v>1</v>
      </c>
      <c r="M8" s="9">
        <v>0.96</v>
      </c>
      <c r="N8" s="10">
        <f t="shared" si="3"/>
        <v>2</v>
      </c>
      <c r="O8" s="9">
        <v>0.71</v>
      </c>
      <c r="P8" s="10">
        <v>0.03</v>
      </c>
      <c r="Q8" s="9">
        <f t="shared" si="4"/>
        <v>2</v>
      </c>
      <c r="R8" s="10">
        <v>0.33321997785220125</v>
      </c>
      <c r="S8" s="9">
        <v>0.20520257572921097</v>
      </c>
      <c r="T8" s="10">
        <f t="shared" si="5"/>
        <v>2</v>
      </c>
      <c r="U8" s="9">
        <v>0.25160091152581898</v>
      </c>
      <c r="V8" s="10">
        <v>0.29066266094179632</v>
      </c>
      <c r="W8" s="9">
        <f t="shared" si="6"/>
        <v>1</v>
      </c>
      <c r="X8" s="10">
        <v>0.8</v>
      </c>
      <c r="Y8" s="9">
        <v>0.45</v>
      </c>
      <c r="Z8" s="10">
        <v>3</v>
      </c>
      <c r="AA8" s="9">
        <v>3</v>
      </c>
    </row>
    <row r="9" spans="1:27" ht="15.75" customHeight="1" x14ac:dyDescent="0.25">
      <c r="A9" s="5">
        <v>2021</v>
      </c>
      <c r="B9" s="6" t="s">
        <v>19</v>
      </c>
      <c r="C9" s="11">
        <v>0.27663888202609155</v>
      </c>
      <c r="D9" s="12">
        <v>0.21783406308468906</v>
      </c>
      <c r="E9" s="11">
        <f t="shared" si="0"/>
        <v>2</v>
      </c>
      <c r="F9" s="12">
        <v>0.05</v>
      </c>
      <c r="G9" s="11">
        <v>0.06</v>
      </c>
      <c r="H9" s="12">
        <f t="shared" si="1"/>
        <v>1</v>
      </c>
      <c r="I9" s="11">
        <v>2.418341449733473</v>
      </c>
      <c r="J9" s="12">
        <v>11.041070852127087</v>
      </c>
      <c r="K9" s="11">
        <f t="shared" si="2"/>
        <v>1</v>
      </c>
      <c r="L9" s="12">
        <v>1.1399999999999999</v>
      </c>
      <c r="M9" s="11">
        <v>0.95</v>
      </c>
      <c r="N9" s="12">
        <f t="shared" si="3"/>
        <v>2</v>
      </c>
      <c r="O9" s="11">
        <v>9.81</v>
      </c>
      <c r="P9" s="12">
        <v>1.5</v>
      </c>
      <c r="Q9" s="11">
        <f t="shared" si="4"/>
        <v>2</v>
      </c>
      <c r="R9" s="12">
        <v>0.27544478511226156</v>
      </c>
      <c r="S9" s="11">
        <v>0.32829404246008054</v>
      </c>
      <c r="T9" s="12">
        <f t="shared" si="5"/>
        <v>1</v>
      </c>
      <c r="U9" s="11">
        <v>0.24438542190725923</v>
      </c>
      <c r="V9" s="12">
        <v>0.16639040504151587</v>
      </c>
      <c r="W9" s="11">
        <f t="shared" si="6"/>
        <v>2</v>
      </c>
      <c r="X9" s="12">
        <v>0.54100000000000004</v>
      </c>
      <c r="Y9" s="11">
        <v>0.15</v>
      </c>
      <c r="Z9" s="12">
        <v>3</v>
      </c>
      <c r="AA9" s="11">
        <v>2</v>
      </c>
    </row>
    <row r="10" spans="1:27" ht="15.75" customHeight="1" x14ac:dyDescent="0.25">
      <c r="A10" s="3">
        <v>2021</v>
      </c>
      <c r="B10" s="4" t="s">
        <v>20</v>
      </c>
      <c r="C10" s="9">
        <v>0.1988699260800342</v>
      </c>
      <c r="D10" s="10">
        <v>0.23088488859517176</v>
      </c>
      <c r="E10" s="9">
        <f t="shared" si="0"/>
        <v>1</v>
      </c>
      <c r="F10" s="10">
        <v>7.0000000000000007E-2</v>
      </c>
      <c r="G10" s="9">
        <v>0.08</v>
      </c>
      <c r="H10" s="10">
        <f t="shared" si="1"/>
        <v>1</v>
      </c>
      <c r="I10" s="9">
        <v>10.930683712678377</v>
      </c>
      <c r="J10" s="10">
        <v>24.271448980127161</v>
      </c>
      <c r="K10" s="9">
        <f t="shared" si="2"/>
        <v>1</v>
      </c>
      <c r="L10" s="10">
        <v>1.07</v>
      </c>
      <c r="M10" s="9">
        <v>0.9</v>
      </c>
      <c r="N10" s="10">
        <f t="shared" si="3"/>
        <v>2</v>
      </c>
      <c r="O10" s="9">
        <v>0.21</v>
      </c>
      <c r="P10" s="10">
        <v>5.86</v>
      </c>
      <c r="Q10" s="9">
        <f t="shared" si="4"/>
        <v>1</v>
      </c>
      <c r="R10" s="10">
        <v>0.37896250066487847</v>
      </c>
      <c r="S10" s="9">
        <v>0.29554759918992279</v>
      </c>
      <c r="T10" s="10">
        <f t="shared" si="5"/>
        <v>2</v>
      </c>
      <c r="U10" s="9">
        <v>0.17866833904588766</v>
      </c>
      <c r="V10" s="10">
        <v>0.24454679446695454</v>
      </c>
      <c r="W10" s="9">
        <f t="shared" si="6"/>
        <v>1</v>
      </c>
      <c r="X10" s="10">
        <v>0.56699999999999995</v>
      </c>
      <c r="Y10" s="9">
        <v>0.7</v>
      </c>
      <c r="Z10" s="10">
        <v>3</v>
      </c>
      <c r="AA10" s="9">
        <v>3</v>
      </c>
    </row>
    <row r="11" spans="1:27" ht="15.75" customHeight="1" x14ac:dyDescent="0.25">
      <c r="A11" s="5">
        <v>2021</v>
      </c>
      <c r="B11" s="6" t="s">
        <v>21</v>
      </c>
      <c r="C11" s="11">
        <v>0.24058313603151041</v>
      </c>
      <c r="D11" s="12">
        <v>0.19319734215481232</v>
      </c>
      <c r="E11" s="11">
        <f t="shared" si="0"/>
        <v>2</v>
      </c>
      <c r="F11" s="12">
        <v>7.0000000000000007E-2</v>
      </c>
      <c r="G11" s="11">
        <v>0.08</v>
      </c>
      <c r="H11" s="12">
        <f t="shared" si="1"/>
        <v>1</v>
      </c>
      <c r="I11" s="11">
        <v>25.527837649427767</v>
      </c>
      <c r="J11" s="12">
        <v>10.924901250439158</v>
      </c>
      <c r="K11" s="11">
        <f t="shared" si="2"/>
        <v>2</v>
      </c>
      <c r="L11" s="12">
        <v>0.94</v>
      </c>
      <c r="M11" s="11">
        <v>0.93</v>
      </c>
      <c r="N11" s="12">
        <f t="shared" si="3"/>
        <v>2</v>
      </c>
      <c r="O11" s="11">
        <v>0.64</v>
      </c>
      <c r="P11" s="12">
        <v>0.89</v>
      </c>
      <c r="Q11" s="11">
        <f t="shared" si="4"/>
        <v>1</v>
      </c>
      <c r="R11" s="12">
        <v>0.35320487471843698</v>
      </c>
      <c r="S11" s="11">
        <v>0.38061568360516912</v>
      </c>
      <c r="T11" s="12">
        <f t="shared" si="5"/>
        <v>1</v>
      </c>
      <c r="U11" s="11">
        <v>0.24138617361360801</v>
      </c>
      <c r="V11" s="12">
        <v>0.1660760639782167</v>
      </c>
      <c r="W11" s="11">
        <f t="shared" si="6"/>
        <v>2</v>
      </c>
      <c r="X11" s="12">
        <v>0.86</v>
      </c>
      <c r="Y11" s="11">
        <v>0.25</v>
      </c>
      <c r="Z11" s="12">
        <v>3</v>
      </c>
      <c r="AA11" s="11">
        <v>2</v>
      </c>
    </row>
    <row r="12" spans="1:27" ht="15.75" customHeight="1" x14ac:dyDescent="0.25">
      <c r="A12" s="3">
        <v>2021</v>
      </c>
      <c r="B12" s="4" t="s">
        <v>22</v>
      </c>
      <c r="C12" s="9">
        <v>0.18554400797883439</v>
      </c>
      <c r="D12" s="10">
        <v>0.21118603700098509</v>
      </c>
      <c r="E12" s="9">
        <f t="shared" si="0"/>
        <v>1</v>
      </c>
      <c r="F12" s="10">
        <v>7.0000000000000007E-2</v>
      </c>
      <c r="G12" s="9">
        <v>0.03</v>
      </c>
      <c r="H12" s="10">
        <f t="shared" si="1"/>
        <v>2</v>
      </c>
      <c r="I12" s="9">
        <v>9.2193718284957278</v>
      </c>
      <c r="J12" s="10">
        <v>3.1449554201753158</v>
      </c>
      <c r="K12" s="9">
        <f t="shared" si="2"/>
        <v>2</v>
      </c>
      <c r="L12" s="10">
        <v>1.02</v>
      </c>
      <c r="M12" s="9">
        <v>1</v>
      </c>
      <c r="N12" s="10">
        <f t="shared" si="3"/>
        <v>2</v>
      </c>
      <c r="O12" s="9">
        <v>0.61</v>
      </c>
      <c r="P12" s="10">
        <v>0.24</v>
      </c>
      <c r="Q12" s="9">
        <f t="shared" si="4"/>
        <v>2</v>
      </c>
      <c r="R12" s="10">
        <v>0.38973649378311054</v>
      </c>
      <c r="S12" s="9">
        <v>0.28929059372065469</v>
      </c>
      <c r="T12" s="10">
        <f t="shared" si="5"/>
        <v>2</v>
      </c>
      <c r="U12" s="9">
        <v>0.18790690080155537</v>
      </c>
      <c r="V12" s="10">
        <v>0.20917700569440648</v>
      </c>
      <c r="W12" s="9">
        <f t="shared" si="6"/>
        <v>1</v>
      </c>
      <c r="X12" s="10">
        <v>0.7</v>
      </c>
      <c r="Y12" s="9">
        <v>0.3</v>
      </c>
      <c r="Z12" s="10">
        <v>3</v>
      </c>
      <c r="AA12" s="9">
        <v>3</v>
      </c>
    </row>
    <row r="13" spans="1:27" ht="15.75" customHeight="1" x14ac:dyDescent="0.25">
      <c r="A13" s="5">
        <v>2021</v>
      </c>
      <c r="B13" s="6" t="s">
        <v>23</v>
      </c>
      <c r="C13" s="11">
        <v>0.22759367916184609</v>
      </c>
      <c r="D13" s="12">
        <v>0.20321289863923186</v>
      </c>
      <c r="E13" s="11">
        <f t="shared" si="0"/>
        <v>2</v>
      </c>
      <c r="F13" s="12">
        <v>0.05</v>
      </c>
      <c r="G13" s="11">
        <v>0.05</v>
      </c>
      <c r="H13" s="12">
        <f t="shared" si="1"/>
        <v>1</v>
      </c>
      <c r="I13" s="11">
        <v>1.3335663689482251</v>
      </c>
      <c r="J13" s="12">
        <v>28.535468912662573</v>
      </c>
      <c r="K13" s="11">
        <f t="shared" si="2"/>
        <v>1</v>
      </c>
      <c r="L13" s="12">
        <v>1.02</v>
      </c>
      <c r="M13" s="11">
        <v>1.05</v>
      </c>
      <c r="N13" s="12">
        <f t="shared" si="3"/>
        <v>1</v>
      </c>
      <c r="O13" s="11">
        <v>0.38</v>
      </c>
      <c r="P13" s="12">
        <v>1.44</v>
      </c>
      <c r="Q13" s="11">
        <f t="shared" si="4"/>
        <v>1</v>
      </c>
      <c r="R13" s="12">
        <v>0.35003411140291596</v>
      </c>
      <c r="S13" s="11">
        <v>0.32562116695070131</v>
      </c>
      <c r="T13" s="12">
        <f t="shared" si="5"/>
        <v>2</v>
      </c>
      <c r="U13" s="11">
        <v>0.18241691055833223</v>
      </c>
      <c r="V13" s="12">
        <v>0.23186274126008102</v>
      </c>
      <c r="W13" s="11">
        <f t="shared" si="6"/>
        <v>1</v>
      </c>
      <c r="X13" s="12">
        <v>0.65400000000000003</v>
      </c>
      <c r="Y13" s="11">
        <v>0.7</v>
      </c>
      <c r="Z13" s="12">
        <v>3</v>
      </c>
      <c r="AA13" s="11">
        <v>3</v>
      </c>
    </row>
    <row r="14" spans="1:27" ht="15.75" customHeight="1" x14ac:dyDescent="0.25">
      <c r="A14" s="3">
        <v>2021</v>
      </c>
      <c r="B14" s="4" t="s">
        <v>24</v>
      </c>
      <c r="C14" s="9">
        <v>0.22412908980984406</v>
      </c>
      <c r="D14" s="10">
        <v>0.27871637319715814</v>
      </c>
      <c r="E14" s="9">
        <f t="shared" si="0"/>
        <v>1</v>
      </c>
      <c r="F14" s="10">
        <v>7.0000000000000007E-2</v>
      </c>
      <c r="G14" s="9">
        <v>0.05</v>
      </c>
      <c r="H14" s="10">
        <f t="shared" si="1"/>
        <v>2</v>
      </c>
      <c r="I14" s="9">
        <v>16.159946220769495</v>
      </c>
      <c r="J14" s="10">
        <v>87.891041924104712</v>
      </c>
      <c r="K14" s="9">
        <f t="shared" si="2"/>
        <v>1</v>
      </c>
      <c r="L14" s="10">
        <v>1</v>
      </c>
      <c r="M14" s="9">
        <v>1</v>
      </c>
      <c r="N14" s="10">
        <f t="shared" si="3"/>
        <v>1</v>
      </c>
      <c r="O14" s="9">
        <v>5.04</v>
      </c>
      <c r="P14" s="10">
        <v>0.01</v>
      </c>
      <c r="Q14" s="9">
        <f t="shared" si="4"/>
        <v>2</v>
      </c>
      <c r="R14" s="10">
        <v>0.34625829893647891</v>
      </c>
      <c r="S14" s="9">
        <v>0.16951754319869744</v>
      </c>
      <c r="T14" s="10">
        <f t="shared" si="5"/>
        <v>2</v>
      </c>
      <c r="U14" s="9">
        <v>0.24131459177248052</v>
      </c>
      <c r="V14" s="10">
        <v>0.27907216456809969</v>
      </c>
      <c r="W14" s="9">
        <f t="shared" si="6"/>
        <v>1</v>
      </c>
      <c r="X14" s="10">
        <v>0.74099999999999999</v>
      </c>
      <c r="Y14" s="9">
        <v>0.15</v>
      </c>
      <c r="Z14" s="10">
        <v>3</v>
      </c>
      <c r="AA14" s="9">
        <v>3</v>
      </c>
    </row>
    <row r="15" spans="1:27" ht="15.75" customHeight="1" x14ac:dyDescent="0.25">
      <c r="A15" s="5">
        <v>2021</v>
      </c>
      <c r="B15" s="6" t="s">
        <v>25</v>
      </c>
      <c r="C15" s="11">
        <v>0.3502060561698675</v>
      </c>
      <c r="D15" s="12">
        <v>0.30821304274872385</v>
      </c>
      <c r="E15" s="11">
        <f t="shared" si="0"/>
        <v>2</v>
      </c>
      <c r="F15" s="12">
        <v>0.08</v>
      </c>
      <c r="G15" s="11">
        <v>0.08</v>
      </c>
      <c r="H15" s="12">
        <f t="shared" si="1"/>
        <v>1</v>
      </c>
      <c r="I15" s="11">
        <v>46.36821614181882</v>
      </c>
      <c r="J15" s="12">
        <v>4.3438237149923982</v>
      </c>
      <c r="K15" s="11">
        <f t="shared" si="2"/>
        <v>2</v>
      </c>
      <c r="L15" s="12">
        <v>1.03</v>
      </c>
      <c r="M15" s="11">
        <v>1.01</v>
      </c>
      <c r="N15" s="12">
        <f t="shared" si="3"/>
        <v>2</v>
      </c>
      <c r="O15" s="11">
        <v>0.24</v>
      </c>
      <c r="P15" s="12">
        <v>0.03</v>
      </c>
      <c r="Q15" s="11">
        <f t="shared" si="4"/>
        <v>2</v>
      </c>
      <c r="R15" s="12">
        <v>0.3853705213414812</v>
      </c>
      <c r="S15" s="11">
        <v>0.33865994974263341</v>
      </c>
      <c r="T15" s="12">
        <f t="shared" si="5"/>
        <v>2</v>
      </c>
      <c r="U15" s="11">
        <v>0.24545658306029405</v>
      </c>
      <c r="V15" s="12">
        <v>0.32810246311888736</v>
      </c>
      <c r="W15" s="11">
        <f t="shared" si="6"/>
        <v>1</v>
      </c>
      <c r="X15" s="12">
        <v>0.72699999999999998</v>
      </c>
      <c r="Y15" s="11">
        <v>0.1</v>
      </c>
      <c r="Z15" s="12">
        <v>3</v>
      </c>
      <c r="AA15" s="11">
        <v>3</v>
      </c>
    </row>
    <row r="16" spans="1:27" ht="15.75" customHeight="1" x14ac:dyDescent="0.25">
      <c r="A16" s="3">
        <v>2021</v>
      </c>
      <c r="B16" s="4" t="s">
        <v>26</v>
      </c>
      <c r="C16" s="9">
        <v>0.35874328487855794</v>
      </c>
      <c r="D16" s="10">
        <v>0.3207180858234796</v>
      </c>
      <c r="E16" s="9">
        <f t="shared" si="0"/>
        <v>2</v>
      </c>
      <c r="F16" s="10">
        <v>0.31</v>
      </c>
      <c r="G16" s="9">
        <v>0.1</v>
      </c>
      <c r="H16" s="10">
        <f t="shared" si="1"/>
        <v>2</v>
      </c>
      <c r="I16" s="9">
        <v>5.7843508917136992</v>
      </c>
      <c r="J16" s="10">
        <v>42.273395895274696</v>
      </c>
      <c r="K16" s="9">
        <f t="shared" si="2"/>
        <v>1</v>
      </c>
      <c r="L16" s="10">
        <v>1.04</v>
      </c>
      <c r="M16" s="9">
        <v>1.06</v>
      </c>
      <c r="N16" s="10">
        <f t="shared" si="3"/>
        <v>1</v>
      </c>
      <c r="O16" s="9">
        <v>6.69</v>
      </c>
      <c r="P16" s="10">
        <v>7.63</v>
      </c>
      <c r="Q16" s="9">
        <f t="shared" si="4"/>
        <v>1</v>
      </c>
      <c r="R16" s="10">
        <v>0.4</v>
      </c>
      <c r="S16" s="9">
        <v>0.31425823180669588</v>
      </c>
      <c r="T16" s="10">
        <f t="shared" si="5"/>
        <v>2</v>
      </c>
      <c r="U16" s="9">
        <v>0.22519830731569129</v>
      </c>
      <c r="V16" s="10">
        <v>0.30906890962315892</v>
      </c>
      <c r="W16" s="9">
        <f t="shared" si="6"/>
        <v>1</v>
      </c>
      <c r="X16" s="10">
        <v>0.65200000000000002</v>
      </c>
      <c r="Y16" s="9">
        <v>0.08</v>
      </c>
      <c r="Z16" s="10">
        <v>3</v>
      </c>
      <c r="AA16" s="9">
        <v>3</v>
      </c>
    </row>
    <row r="17" spans="1:27" ht="15.75" customHeight="1" x14ac:dyDescent="0.25">
      <c r="A17" s="5">
        <v>2021</v>
      </c>
      <c r="B17" s="6" t="s">
        <v>27</v>
      </c>
      <c r="C17" s="11">
        <v>0.27999762010128049</v>
      </c>
      <c r="D17" s="12">
        <v>0.34091111599145751</v>
      </c>
      <c r="E17" s="11">
        <f t="shared" si="0"/>
        <v>1</v>
      </c>
      <c r="F17" s="12">
        <v>0.04</v>
      </c>
      <c r="G17" s="11">
        <v>0.28000000000000003</v>
      </c>
      <c r="H17" s="12">
        <f t="shared" si="1"/>
        <v>1</v>
      </c>
      <c r="I17" s="11">
        <v>2.22895630478954</v>
      </c>
      <c r="J17" s="12">
        <v>6.8375872690773374</v>
      </c>
      <c r="K17" s="11">
        <f t="shared" si="2"/>
        <v>1</v>
      </c>
      <c r="L17" s="12">
        <v>1.35</v>
      </c>
      <c r="M17" s="11">
        <v>1</v>
      </c>
      <c r="N17" s="12">
        <f t="shared" si="3"/>
        <v>2</v>
      </c>
      <c r="O17" s="11">
        <v>0.53</v>
      </c>
      <c r="P17" s="12">
        <v>0.2</v>
      </c>
      <c r="Q17" s="11">
        <f t="shared" si="4"/>
        <v>2</v>
      </c>
      <c r="R17" s="12">
        <v>0.16711611089906639</v>
      </c>
      <c r="S17" s="11">
        <v>0.40197537356014984</v>
      </c>
      <c r="T17" s="12">
        <f t="shared" si="5"/>
        <v>1</v>
      </c>
      <c r="U17" s="11">
        <v>0.35</v>
      </c>
      <c r="V17" s="12">
        <v>0.24019250971764158</v>
      </c>
      <c r="W17" s="11">
        <f t="shared" si="6"/>
        <v>2</v>
      </c>
      <c r="X17" s="12">
        <v>0.62</v>
      </c>
      <c r="Y17" s="11">
        <v>0.1</v>
      </c>
      <c r="Z17" s="12">
        <v>1</v>
      </c>
      <c r="AA17" s="11">
        <v>2</v>
      </c>
    </row>
    <row r="18" spans="1:27" ht="15.75" customHeight="1" x14ac:dyDescent="0.25">
      <c r="A18" s="3">
        <v>2021</v>
      </c>
      <c r="B18" s="4" t="s">
        <v>28</v>
      </c>
      <c r="C18" s="9">
        <v>0.29156346880959721</v>
      </c>
      <c r="D18" s="10">
        <v>0.32429791696816801</v>
      </c>
      <c r="E18" s="9">
        <f t="shared" si="0"/>
        <v>1</v>
      </c>
      <c r="F18" s="10">
        <v>0.4</v>
      </c>
      <c r="G18" s="9">
        <v>0.09</v>
      </c>
      <c r="H18" s="10">
        <f t="shared" si="1"/>
        <v>2</v>
      </c>
      <c r="I18" s="9">
        <v>34.520484710603434</v>
      </c>
      <c r="J18" s="10">
        <v>31.072546408615349</v>
      </c>
      <c r="K18" s="9">
        <f t="shared" si="2"/>
        <v>2</v>
      </c>
      <c r="L18" s="10">
        <v>1.06</v>
      </c>
      <c r="M18" s="9">
        <v>0.92</v>
      </c>
      <c r="N18" s="10">
        <f t="shared" si="3"/>
        <v>2</v>
      </c>
      <c r="O18" s="9">
        <v>2.2400000000000002</v>
      </c>
      <c r="P18" s="10">
        <v>3.66</v>
      </c>
      <c r="Q18" s="9">
        <f t="shared" si="4"/>
        <v>1</v>
      </c>
      <c r="R18" s="10">
        <v>0.47623044064234704</v>
      </c>
      <c r="S18" s="9">
        <v>0.36575101412241168</v>
      </c>
      <c r="T18" s="10">
        <f t="shared" si="5"/>
        <v>2</v>
      </c>
      <c r="U18" s="9">
        <v>0.17900532098371816</v>
      </c>
      <c r="V18" s="10">
        <v>0.20937644701429156</v>
      </c>
      <c r="W18" s="9">
        <f t="shared" si="6"/>
        <v>1</v>
      </c>
      <c r="X18" s="10">
        <v>0.71399999999999997</v>
      </c>
      <c r="Y18" s="9">
        <v>0.15</v>
      </c>
      <c r="Z18" s="10">
        <v>3</v>
      </c>
      <c r="AA18" s="9">
        <v>3</v>
      </c>
    </row>
    <row r="19" spans="1:27" ht="15.75" customHeight="1" x14ac:dyDescent="0.25">
      <c r="A19" s="5">
        <v>2021</v>
      </c>
      <c r="B19" s="6" t="s">
        <v>29</v>
      </c>
      <c r="C19" s="11">
        <v>0.18009480051813923</v>
      </c>
      <c r="D19" s="12">
        <v>0.24058093864999947</v>
      </c>
      <c r="E19" s="11">
        <f t="shared" si="0"/>
        <v>1</v>
      </c>
      <c r="F19" s="12">
        <v>7.0000000000000007E-2</v>
      </c>
      <c r="G19" s="11">
        <v>0.36</v>
      </c>
      <c r="H19" s="12">
        <f t="shared" si="1"/>
        <v>1</v>
      </c>
      <c r="I19" s="11">
        <v>4.4113678231728759</v>
      </c>
      <c r="J19" s="12">
        <v>13.416493514141457</v>
      </c>
      <c r="K19" s="11">
        <f t="shared" si="2"/>
        <v>1</v>
      </c>
      <c r="L19" s="12">
        <v>0.96</v>
      </c>
      <c r="M19" s="11">
        <v>0.97</v>
      </c>
      <c r="N19" s="12">
        <f t="shared" si="3"/>
        <v>1</v>
      </c>
      <c r="O19" s="11">
        <v>0.08</v>
      </c>
      <c r="P19" s="12">
        <v>0.17</v>
      </c>
      <c r="Q19" s="11">
        <f t="shared" si="4"/>
        <v>1</v>
      </c>
      <c r="R19" s="12">
        <v>0.19116808619765516</v>
      </c>
      <c r="S19" s="11">
        <v>0.18612822207035548</v>
      </c>
      <c r="T19" s="12">
        <f t="shared" si="5"/>
        <v>2</v>
      </c>
      <c r="U19" s="11">
        <v>0.182574630903825</v>
      </c>
      <c r="V19" s="12">
        <v>0.17490461581851022</v>
      </c>
      <c r="W19" s="11">
        <f t="shared" si="6"/>
        <v>2</v>
      </c>
      <c r="X19" s="12">
        <v>0.64</v>
      </c>
      <c r="Y19" s="11">
        <v>0</v>
      </c>
      <c r="Z19" s="12">
        <v>3</v>
      </c>
      <c r="AA19" s="11">
        <v>3</v>
      </c>
    </row>
    <row r="20" spans="1:27" ht="15.75" customHeight="1" x14ac:dyDescent="0.25">
      <c r="A20" s="4">
        <v>2022</v>
      </c>
      <c r="B20" s="4" t="s">
        <v>12</v>
      </c>
      <c r="C20" s="10">
        <v>0.25946560071668395</v>
      </c>
      <c r="D20" s="10">
        <v>0.2464988146352893</v>
      </c>
      <c r="E20" s="10">
        <f t="shared" si="0"/>
        <v>2</v>
      </c>
      <c r="F20" s="10">
        <v>0.10749964458265313</v>
      </c>
      <c r="G20" s="10">
        <v>0.1</v>
      </c>
      <c r="H20" s="10">
        <f t="shared" si="1"/>
        <v>2</v>
      </c>
      <c r="I20" s="10">
        <v>6.0139067492026737</v>
      </c>
      <c r="J20" s="10">
        <f>((1.437)/365)*365</f>
        <v>1.4370000000000001</v>
      </c>
      <c r="K20" s="10">
        <f t="shared" si="2"/>
        <v>2</v>
      </c>
      <c r="L20" s="10">
        <v>1.0784025506028911</v>
      </c>
      <c r="M20" s="10">
        <v>0.98</v>
      </c>
      <c r="N20" s="10">
        <f t="shared" si="3"/>
        <v>2</v>
      </c>
      <c r="O20" s="10">
        <v>0.77</v>
      </c>
      <c r="P20" s="10">
        <v>0.1</v>
      </c>
      <c r="Q20" s="10">
        <f t="shared" si="4"/>
        <v>2</v>
      </c>
      <c r="R20" s="10">
        <v>0.40936948385760757</v>
      </c>
      <c r="S20" s="10">
        <v>0.32632592330080679</v>
      </c>
      <c r="T20" s="10">
        <f t="shared" si="5"/>
        <v>2</v>
      </c>
      <c r="U20" s="10">
        <v>0.21452254388122804</v>
      </c>
      <c r="V20" s="10">
        <v>0.19059218177666823</v>
      </c>
      <c r="W20" s="10">
        <f t="shared" si="6"/>
        <v>2</v>
      </c>
      <c r="X20" s="10">
        <v>0.80400000000000005</v>
      </c>
      <c r="Y20" s="10">
        <v>0.7</v>
      </c>
      <c r="Z20" s="10">
        <v>3</v>
      </c>
      <c r="AA20" s="10">
        <v>3</v>
      </c>
    </row>
    <row r="21" spans="1:27" ht="15.75" customHeight="1" x14ac:dyDescent="0.25">
      <c r="A21" s="6">
        <v>2022</v>
      </c>
      <c r="B21" s="6" t="s">
        <v>13</v>
      </c>
      <c r="C21" s="11">
        <v>0.24414651632443254</v>
      </c>
      <c r="D21" s="12">
        <v>0.27149312587220914</v>
      </c>
      <c r="E21" s="11">
        <f t="shared" si="0"/>
        <v>1</v>
      </c>
      <c r="F21" s="12">
        <v>4.1410217323592645E-2</v>
      </c>
      <c r="G21" s="11">
        <v>0.03</v>
      </c>
      <c r="H21" s="12">
        <f t="shared" si="1"/>
        <v>2</v>
      </c>
      <c r="I21" s="11">
        <v>9.6538185070451679</v>
      </c>
      <c r="J21" s="12">
        <v>6.870000000000001</v>
      </c>
      <c r="K21" s="11">
        <f t="shared" si="2"/>
        <v>2</v>
      </c>
      <c r="L21" s="12">
        <v>1.2559416586999046</v>
      </c>
      <c r="M21" s="11">
        <v>0.91</v>
      </c>
      <c r="N21" s="12">
        <f t="shared" si="3"/>
        <v>2</v>
      </c>
      <c r="O21" s="11">
        <v>0.20810545641312758</v>
      </c>
      <c r="P21" s="12">
        <v>1.08</v>
      </c>
      <c r="Q21" s="11">
        <f t="shared" si="4"/>
        <v>1</v>
      </c>
      <c r="R21" s="12">
        <v>0.27864407643186978</v>
      </c>
      <c r="S21" s="11">
        <v>0.24259952200443308</v>
      </c>
      <c r="T21" s="12">
        <f t="shared" si="5"/>
        <v>2</v>
      </c>
      <c r="U21" s="11">
        <v>0.41564955497580919</v>
      </c>
      <c r="V21" s="12">
        <v>0.32842034247124358</v>
      </c>
      <c r="W21" s="11">
        <f t="shared" si="6"/>
        <v>2</v>
      </c>
      <c r="X21" s="12">
        <v>0.83599999999999997</v>
      </c>
      <c r="Y21" s="11">
        <v>0.74</v>
      </c>
      <c r="Z21" s="12">
        <v>3</v>
      </c>
      <c r="AA21" s="11">
        <v>2</v>
      </c>
    </row>
    <row r="22" spans="1:27" ht="15.75" customHeight="1" x14ac:dyDescent="0.25">
      <c r="A22" s="4">
        <v>2022</v>
      </c>
      <c r="B22" s="4" t="s">
        <v>14</v>
      </c>
      <c r="C22" s="9">
        <v>0.21601817648490287</v>
      </c>
      <c r="D22" s="10">
        <v>0.24323030662099085</v>
      </c>
      <c r="E22" s="9">
        <f t="shared" si="0"/>
        <v>1</v>
      </c>
      <c r="F22" s="10">
        <v>7.2407823544241828E-2</v>
      </c>
      <c r="G22" s="9">
        <v>7.0000000000000007E-2</v>
      </c>
      <c r="H22" s="10">
        <f t="shared" si="1"/>
        <v>2</v>
      </c>
      <c r="I22" s="9">
        <v>71.249384218355331</v>
      </c>
      <c r="J22" s="10">
        <v>49.625999999999998</v>
      </c>
      <c r="K22" s="9">
        <f t="shared" si="2"/>
        <v>2</v>
      </c>
      <c r="L22" s="10">
        <v>1.3145696063939116</v>
      </c>
      <c r="M22" s="9">
        <v>1.04</v>
      </c>
      <c r="N22" s="10">
        <f t="shared" si="3"/>
        <v>2</v>
      </c>
      <c r="O22" s="9">
        <v>37.474667707613904</v>
      </c>
      <c r="P22" s="10">
        <v>46.96</v>
      </c>
      <c r="Q22" s="9">
        <f t="shared" si="4"/>
        <v>1</v>
      </c>
      <c r="R22" s="10">
        <v>0.33591782336308118</v>
      </c>
      <c r="S22" s="9">
        <v>0.2928099589344651</v>
      </c>
      <c r="T22" s="10">
        <f t="shared" si="5"/>
        <v>2</v>
      </c>
      <c r="U22" s="9">
        <v>0.35156620543376299</v>
      </c>
      <c r="V22" s="10">
        <v>0.224443318150542</v>
      </c>
      <c r="W22" s="9">
        <f t="shared" si="6"/>
        <v>2</v>
      </c>
      <c r="X22" s="10">
        <v>0.85499999999999998</v>
      </c>
      <c r="Y22" s="9">
        <v>0.4</v>
      </c>
      <c r="Z22" s="10">
        <v>3</v>
      </c>
      <c r="AA22" s="9">
        <v>3</v>
      </c>
    </row>
    <row r="23" spans="1:27" ht="15.75" customHeight="1" x14ac:dyDescent="0.25">
      <c r="A23" s="6">
        <v>2022</v>
      </c>
      <c r="B23" s="6" t="s">
        <v>15</v>
      </c>
      <c r="C23" s="11">
        <v>0.27979390032905432</v>
      </c>
      <c r="D23" s="12">
        <v>0.27022065409060386</v>
      </c>
      <c r="E23" s="11">
        <f t="shared" si="0"/>
        <v>2</v>
      </c>
      <c r="F23" s="12">
        <v>9.8444152755189876E-2</v>
      </c>
      <c r="G23" s="11">
        <v>0.13</v>
      </c>
      <c r="H23" s="12">
        <f t="shared" si="1"/>
        <v>1</v>
      </c>
      <c r="I23" s="11">
        <v>9.7699734903730224</v>
      </c>
      <c r="J23" s="12">
        <v>0.82595396932144427</v>
      </c>
      <c r="K23" s="11">
        <f t="shared" si="2"/>
        <v>2</v>
      </c>
      <c r="L23" s="12">
        <v>1.2738423788102775</v>
      </c>
      <c r="M23" s="11">
        <v>1.01</v>
      </c>
      <c r="N23" s="12">
        <f t="shared" si="3"/>
        <v>2</v>
      </c>
      <c r="O23" s="11">
        <v>0.66349621993398977</v>
      </c>
      <c r="P23" s="12">
        <v>19.3</v>
      </c>
      <c r="Q23" s="11">
        <f t="shared" si="4"/>
        <v>1</v>
      </c>
      <c r="R23" s="12">
        <v>0.30892197129379384</v>
      </c>
      <c r="S23" s="11">
        <v>0.36521440700835595</v>
      </c>
      <c r="T23" s="12">
        <f t="shared" si="5"/>
        <v>1</v>
      </c>
      <c r="U23" s="11">
        <v>0.36824496850935484</v>
      </c>
      <c r="V23" s="12">
        <v>0.34940124445664711</v>
      </c>
      <c r="W23" s="11">
        <f t="shared" si="6"/>
        <v>2</v>
      </c>
      <c r="X23" s="12">
        <v>0.88700000000000001</v>
      </c>
      <c r="Y23" s="11">
        <v>0.72</v>
      </c>
      <c r="Z23" s="12">
        <v>3</v>
      </c>
      <c r="AA23" s="11">
        <v>3</v>
      </c>
    </row>
    <row r="24" spans="1:27" ht="15.75" customHeight="1" x14ac:dyDescent="0.25">
      <c r="A24" s="4">
        <v>2022</v>
      </c>
      <c r="B24" s="4" t="s">
        <v>16</v>
      </c>
      <c r="C24" s="9">
        <v>0.27401171921546247</v>
      </c>
      <c r="D24" s="10">
        <v>0.29803153869449528</v>
      </c>
      <c r="E24" s="9">
        <f t="shared" si="0"/>
        <v>1</v>
      </c>
      <c r="F24" s="10">
        <v>7.6895710406915369E-2</v>
      </c>
      <c r="G24" s="9">
        <v>0.09</v>
      </c>
      <c r="H24" s="10">
        <f t="shared" si="1"/>
        <v>1</v>
      </c>
      <c r="I24" s="9">
        <v>112.20132295385517</v>
      </c>
      <c r="J24" s="10">
        <v>40.194751948627626</v>
      </c>
      <c r="K24" s="9">
        <f t="shared" si="2"/>
        <v>2</v>
      </c>
      <c r="L24" s="10">
        <v>1.4506582288899461</v>
      </c>
      <c r="M24" s="9">
        <v>1.1399999999999999</v>
      </c>
      <c r="N24" s="10">
        <f t="shared" si="3"/>
        <v>2</v>
      </c>
      <c r="O24" s="9">
        <v>50.891577968339661</v>
      </c>
      <c r="P24" s="10">
        <v>0.82</v>
      </c>
      <c r="Q24" s="9">
        <f t="shared" si="4"/>
        <v>2</v>
      </c>
      <c r="R24" s="10">
        <v>0.34413715369841424</v>
      </c>
      <c r="S24" s="9">
        <v>0.3317873622964736</v>
      </c>
      <c r="T24" s="10">
        <f t="shared" si="5"/>
        <v>2</v>
      </c>
      <c r="U24" s="9">
        <v>0.31358623216386738</v>
      </c>
      <c r="V24" s="10">
        <v>0.17930573100691399</v>
      </c>
      <c r="W24" s="9">
        <f t="shared" si="6"/>
        <v>2</v>
      </c>
      <c r="X24" s="10">
        <v>0.85099999999999998</v>
      </c>
      <c r="Y24" s="9">
        <v>0.7</v>
      </c>
      <c r="Z24" s="10">
        <v>3</v>
      </c>
      <c r="AA24" s="9">
        <v>2</v>
      </c>
    </row>
    <row r="25" spans="1:27" ht="15.75" customHeight="1" x14ac:dyDescent="0.25">
      <c r="A25" s="6">
        <v>2022</v>
      </c>
      <c r="B25" s="6" t="s">
        <v>17</v>
      </c>
      <c r="C25" s="12">
        <v>0.3479505074439882</v>
      </c>
      <c r="D25" s="12">
        <v>0.33090048779279563</v>
      </c>
      <c r="E25" s="12">
        <f t="shared" si="0"/>
        <v>2</v>
      </c>
      <c r="F25" s="12">
        <v>0.10943066814512763</v>
      </c>
      <c r="G25" s="12">
        <v>0.11</v>
      </c>
      <c r="H25" s="12">
        <f t="shared" si="1"/>
        <v>1</v>
      </c>
      <c r="I25" s="12">
        <v>7.0957005137458751</v>
      </c>
      <c r="J25" s="12">
        <v>64.276988856542559</v>
      </c>
      <c r="K25" s="12">
        <f t="shared" si="2"/>
        <v>1</v>
      </c>
      <c r="L25" s="12">
        <v>1.1308276117560951</v>
      </c>
      <c r="M25" s="12">
        <v>0.92</v>
      </c>
      <c r="N25" s="12">
        <f t="shared" si="3"/>
        <v>2</v>
      </c>
      <c r="O25" s="12">
        <v>0.44781327061235249</v>
      </c>
      <c r="P25" s="12">
        <v>5.13</v>
      </c>
      <c r="Q25" s="12">
        <f t="shared" si="4"/>
        <v>1</v>
      </c>
      <c r="R25" s="12">
        <v>0.35756256020027921</v>
      </c>
      <c r="S25" s="12">
        <v>0.24850854751824039</v>
      </c>
      <c r="T25" s="12">
        <f t="shared" si="5"/>
        <v>2</v>
      </c>
      <c r="U25" s="12">
        <v>0.22171272460773458</v>
      </c>
      <c r="V25" s="12">
        <v>0.28598711814169825</v>
      </c>
      <c r="W25" s="12">
        <f t="shared" si="6"/>
        <v>1</v>
      </c>
      <c r="X25" s="12">
        <v>0.84699999999999998</v>
      </c>
      <c r="Y25" s="12">
        <v>0.25</v>
      </c>
      <c r="Z25" s="12">
        <v>1</v>
      </c>
      <c r="AA25" s="12">
        <v>1</v>
      </c>
    </row>
    <row r="26" spans="1:27" ht="15.75" customHeight="1" x14ac:dyDescent="0.25">
      <c r="A26" s="4">
        <v>2022</v>
      </c>
      <c r="B26" s="4" t="s">
        <v>18</v>
      </c>
      <c r="C26" s="9">
        <v>0.25878982327255845</v>
      </c>
      <c r="D26" s="10">
        <v>0.25427093678488977</v>
      </c>
      <c r="E26" s="9">
        <f t="shared" si="0"/>
        <v>2</v>
      </c>
      <c r="F26" s="10">
        <v>7.5628653976568871E-2</v>
      </c>
      <c r="G26" s="9">
        <v>0.09</v>
      </c>
      <c r="H26" s="10">
        <f t="shared" si="1"/>
        <v>1</v>
      </c>
      <c r="I26" s="9">
        <v>18.130748979223057</v>
      </c>
      <c r="J26" s="10">
        <v>25.07411551848444</v>
      </c>
      <c r="K26" s="9">
        <f t="shared" si="2"/>
        <v>1</v>
      </c>
      <c r="L26" s="10">
        <v>1.0821147478719515</v>
      </c>
      <c r="M26" s="9">
        <v>1</v>
      </c>
      <c r="N26" s="10">
        <f t="shared" si="3"/>
        <v>2</v>
      </c>
      <c r="O26" s="9">
        <v>10.485418605852127</v>
      </c>
      <c r="P26" s="10">
        <v>0.71</v>
      </c>
      <c r="Q26" s="9">
        <f t="shared" si="4"/>
        <v>2</v>
      </c>
      <c r="R26" s="10">
        <v>0.41212704422139945</v>
      </c>
      <c r="S26" s="9">
        <v>0.33321997785220125</v>
      </c>
      <c r="T26" s="10">
        <f t="shared" si="5"/>
        <v>2</v>
      </c>
      <c r="U26" s="9">
        <v>0.27300774471168804</v>
      </c>
      <c r="V26" s="10">
        <v>0.25160091152581898</v>
      </c>
      <c r="W26" s="9">
        <f t="shared" si="6"/>
        <v>2</v>
      </c>
      <c r="X26" s="10">
        <v>0.92</v>
      </c>
      <c r="Y26" s="9">
        <v>0.61</v>
      </c>
      <c r="Z26" s="10">
        <v>3</v>
      </c>
      <c r="AA26" s="9">
        <v>2</v>
      </c>
    </row>
    <row r="27" spans="1:27" ht="15.75" customHeight="1" x14ac:dyDescent="0.25">
      <c r="A27" s="6">
        <v>2022</v>
      </c>
      <c r="B27" s="6" t="s">
        <v>19</v>
      </c>
      <c r="C27" s="11">
        <v>0.27747638303060485</v>
      </c>
      <c r="D27" s="12">
        <v>0.27663888202609155</v>
      </c>
      <c r="E27" s="11">
        <f t="shared" si="0"/>
        <v>2</v>
      </c>
      <c r="F27" s="12">
        <v>4.3280479255846806E-2</v>
      </c>
      <c r="G27" s="11">
        <v>0.05</v>
      </c>
      <c r="H27" s="12">
        <f t="shared" si="1"/>
        <v>1</v>
      </c>
      <c r="I27" s="11">
        <v>59.055166095452442</v>
      </c>
      <c r="J27" s="12">
        <v>2.418341449733473</v>
      </c>
      <c r="K27" s="11">
        <f t="shared" si="2"/>
        <v>2</v>
      </c>
      <c r="L27" s="12">
        <v>1.419393208447512</v>
      </c>
      <c r="M27" s="11">
        <v>1.1399999999999999</v>
      </c>
      <c r="N27" s="12">
        <f t="shared" si="3"/>
        <v>2</v>
      </c>
      <c r="O27" s="11">
        <v>1.2591454334080727</v>
      </c>
      <c r="P27" s="12">
        <v>9.81</v>
      </c>
      <c r="Q27" s="11">
        <f t="shared" si="4"/>
        <v>1</v>
      </c>
      <c r="R27" s="12">
        <v>0.26890346484754407</v>
      </c>
      <c r="S27" s="11">
        <v>0.27544478511226156</v>
      </c>
      <c r="T27" s="12">
        <f t="shared" si="5"/>
        <v>1</v>
      </c>
      <c r="U27" s="11">
        <v>0.38934852538229914</v>
      </c>
      <c r="V27" s="12">
        <v>0.24438542190725923</v>
      </c>
      <c r="W27" s="11">
        <f t="shared" si="6"/>
        <v>2</v>
      </c>
      <c r="X27" s="12">
        <v>0.79300000000000004</v>
      </c>
      <c r="Y27" s="11">
        <v>0.1</v>
      </c>
      <c r="Z27" s="12">
        <v>2</v>
      </c>
      <c r="AA27" s="11">
        <v>2</v>
      </c>
    </row>
    <row r="28" spans="1:27" ht="15.75" customHeight="1" x14ac:dyDescent="0.25">
      <c r="A28" s="4">
        <v>2022</v>
      </c>
      <c r="B28" s="4" t="s">
        <v>20</v>
      </c>
      <c r="C28" s="9">
        <v>0.26411765630764666</v>
      </c>
      <c r="D28" s="10">
        <v>0.1988699260800342</v>
      </c>
      <c r="E28" s="9">
        <f t="shared" si="0"/>
        <v>2</v>
      </c>
      <c r="F28" s="10">
        <v>7.2467880767043732E-2</v>
      </c>
      <c r="G28" s="9">
        <v>7.0000000000000007E-2</v>
      </c>
      <c r="H28" s="10">
        <f t="shared" si="1"/>
        <v>2</v>
      </c>
      <c r="I28" s="9">
        <v>42.581837093370893</v>
      </c>
      <c r="J28" s="10">
        <v>10.930683712678377</v>
      </c>
      <c r="K28" s="9">
        <f t="shared" si="2"/>
        <v>2</v>
      </c>
      <c r="L28" s="10">
        <v>1.1053753233008314</v>
      </c>
      <c r="M28" s="9">
        <v>1.07</v>
      </c>
      <c r="N28" s="10">
        <f t="shared" si="3"/>
        <v>2</v>
      </c>
      <c r="O28" s="9">
        <v>12.942252856955117</v>
      </c>
      <c r="P28" s="10">
        <v>0.21</v>
      </c>
      <c r="Q28" s="9">
        <f t="shared" si="4"/>
        <v>2</v>
      </c>
      <c r="R28" s="10">
        <v>0.41157107575272261</v>
      </c>
      <c r="S28" s="9">
        <v>0.37896250066487847</v>
      </c>
      <c r="T28" s="10">
        <f t="shared" si="5"/>
        <v>2</v>
      </c>
      <c r="U28" s="9">
        <v>0.24412464696028782</v>
      </c>
      <c r="V28" s="10">
        <v>0.17866833904588766</v>
      </c>
      <c r="W28" s="9">
        <f t="shared" si="6"/>
        <v>2</v>
      </c>
      <c r="X28" s="10">
        <v>0.78200000000000003</v>
      </c>
      <c r="Y28" s="9">
        <v>0.55000000000000004</v>
      </c>
      <c r="Z28" s="10">
        <v>3</v>
      </c>
      <c r="AA28" s="9">
        <v>1</v>
      </c>
    </row>
    <row r="29" spans="1:27" ht="15.75" customHeight="1" x14ac:dyDescent="0.25">
      <c r="A29" s="6">
        <v>2022</v>
      </c>
      <c r="B29" s="6" t="s">
        <v>21</v>
      </c>
      <c r="C29" s="11">
        <v>0.27782144786858781</v>
      </c>
      <c r="D29" s="12">
        <v>0.24058313603151041</v>
      </c>
      <c r="E29" s="11">
        <f t="shared" si="0"/>
        <v>2</v>
      </c>
      <c r="F29" s="12">
        <v>8.0713711215589096E-2</v>
      </c>
      <c r="G29" s="11">
        <v>7.0000000000000007E-2</v>
      </c>
      <c r="H29" s="12">
        <f t="shared" si="1"/>
        <v>2</v>
      </c>
      <c r="I29" s="11">
        <v>9.1538528713186764</v>
      </c>
      <c r="J29" s="12">
        <v>25.527837649427767</v>
      </c>
      <c r="K29" s="11">
        <f t="shared" si="2"/>
        <v>1</v>
      </c>
      <c r="L29" s="12">
        <v>1.0511058150706329</v>
      </c>
      <c r="M29" s="11">
        <v>0.94</v>
      </c>
      <c r="N29" s="12">
        <f t="shared" si="3"/>
        <v>2</v>
      </c>
      <c r="O29" s="11">
        <v>0.26253402394763992</v>
      </c>
      <c r="P29" s="12">
        <v>0.64</v>
      </c>
      <c r="Q29" s="11">
        <f t="shared" si="4"/>
        <v>1</v>
      </c>
      <c r="R29" s="12">
        <v>0.41353693829949029</v>
      </c>
      <c r="S29" s="11">
        <v>0.35320487471843698</v>
      </c>
      <c r="T29" s="12">
        <f t="shared" si="5"/>
        <v>2</v>
      </c>
      <c r="U29" s="11">
        <v>0.23564164212509492</v>
      </c>
      <c r="V29" s="12">
        <v>0.24138617361360801</v>
      </c>
      <c r="W29" s="11">
        <f t="shared" si="6"/>
        <v>1</v>
      </c>
      <c r="X29" s="12">
        <v>0.81799999999999995</v>
      </c>
      <c r="Y29" s="11">
        <v>0.3</v>
      </c>
      <c r="Z29" s="12">
        <v>2</v>
      </c>
      <c r="AA29" s="11">
        <v>2</v>
      </c>
    </row>
    <row r="30" spans="1:27" ht="15.75" customHeight="1" x14ac:dyDescent="0.25">
      <c r="A30" s="4">
        <v>2022</v>
      </c>
      <c r="B30" s="4" t="s">
        <v>22</v>
      </c>
      <c r="C30" s="9">
        <v>0.24369547522713922</v>
      </c>
      <c r="D30" s="10">
        <v>0.18554400797883439</v>
      </c>
      <c r="E30" s="9">
        <f t="shared" si="0"/>
        <v>2</v>
      </c>
      <c r="F30" s="10">
        <v>8.0982484637731791E-2</v>
      </c>
      <c r="G30" s="9">
        <v>7.0000000000000007E-2</v>
      </c>
      <c r="H30" s="10">
        <f t="shared" si="1"/>
        <v>2</v>
      </c>
      <c r="I30" s="9">
        <v>14.549017610134296</v>
      </c>
      <c r="J30" s="10">
        <v>9.2193718284957278</v>
      </c>
      <c r="K30" s="9">
        <f t="shared" si="2"/>
        <v>2</v>
      </c>
      <c r="L30" s="10">
        <v>1.130371288632035</v>
      </c>
      <c r="M30" s="9">
        <v>1.02</v>
      </c>
      <c r="N30" s="10">
        <f t="shared" si="3"/>
        <v>2</v>
      </c>
      <c r="O30" s="9">
        <v>0.985007174215901</v>
      </c>
      <c r="P30" s="10">
        <v>0.61</v>
      </c>
      <c r="Q30" s="9">
        <f t="shared" si="4"/>
        <v>2</v>
      </c>
      <c r="R30" s="10">
        <v>0.39899616117162373</v>
      </c>
      <c r="S30" s="9">
        <v>0.38973649378311054</v>
      </c>
      <c r="T30" s="10">
        <f t="shared" si="5"/>
        <v>2</v>
      </c>
      <c r="U30" s="9">
        <v>0.24522333664151891</v>
      </c>
      <c r="V30" s="10">
        <v>0.18790690080155537</v>
      </c>
      <c r="W30" s="9">
        <f t="shared" si="6"/>
        <v>2</v>
      </c>
      <c r="X30" s="10">
        <v>0.85199999999999998</v>
      </c>
      <c r="Y30" s="9">
        <v>0.27</v>
      </c>
      <c r="Z30" s="10">
        <v>3</v>
      </c>
      <c r="AA30" s="9">
        <v>2</v>
      </c>
    </row>
    <row r="31" spans="1:27" ht="15.75" customHeight="1" x14ac:dyDescent="0.25">
      <c r="A31" s="6">
        <v>2022</v>
      </c>
      <c r="B31" s="6" t="s">
        <v>23</v>
      </c>
      <c r="C31" s="11">
        <v>0.20540695807705908</v>
      </c>
      <c r="D31" s="12">
        <v>0.22759367916184609</v>
      </c>
      <c r="E31" s="11">
        <f t="shared" si="0"/>
        <v>1</v>
      </c>
      <c r="F31" s="12">
        <v>4.0872126320690122E-2</v>
      </c>
      <c r="G31" s="11">
        <v>0.05</v>
      </c>
      <c r="H31" s="12">
        <f t="shared" si="1"/>
        <v>1</v>
      </c>
      <c r="I31" s="11">
        <v>25.125007800160592</v>
      </c>
      <c r="J31" s="12">
        <v>1.3335663689482251</v>
      </c>
      <c r="K31" s="11">
        <f t="shared" si="2"/>
        <v>2</v>
      </c>
      <c r="L31" s="12">
        <v>1.2294676992404243</v>
      </c>
      <c r="M31" s="11">
        <v>1.02</v>
      </c>
      <c r="N31" s="12">
        <f t="shared" si="3"/>
        <v>2</v>
      </c>
      <c r="O31" s="11">
        <v>1.1950159291600866</v>
      </c>
      <c r="P31" s="12">
        <v>0.38</v>
      </c>
      <c r="Q31" s="11">
        <f t="shared" si="4"/>
        <v>2</v>
      </c>
      <c r="R31" s="12">
        <v>0.38903492136193607</v>
      </c>
      <c r="S31" s="11">
        <v>0.35003411140291596</v>
      </c>
      <c r="T31" s="12">
        <f t="shared" si="5"/>
        <v>2</v>
      </c>
      <c r="U31" s="11">
        <v>0.33788912126607906</v>
      </c>
      <c r="V31" s="12">
        <v>0.18241691055833223</v>
      </c>
      <c r="W31" s="11">
        <f t="shared" si="6"/>
        <v>2</v>
      </c>
      <c r="X31" s="12">
        <v>0.876</v>
      </c>
      <c r="Y31" s="11">
        <v>0.66</v>
      </c>
      <c r="Z31" s="12">
        <v>3</v>
      </c>
      <c r="AA31" s="11">
        <v>3</v>
      </c>
    </row>
    <row r="32" spans="1:27" ht="15.75" customHeight="1" x14ac:dyDescent="0.25">
      <c r="A32" s="4">
        <v>2022</v>
      </c>
      <c r="B32" s="4" t="s">
        <v>24</v>
      </c>
      <c r="C32" s="9">
        <v>0.24767420020193995</v>
      </c>
      <c r="D32" s="10">
        <v>0.22412908980984406</v>
      </c>
      <c r="E32" s="9">
        <f t="shared" si="0"/>
        <v>2</v>
      </c>
      <c r="F32" s="10">
        <v>5.5752267776000758E-2</v>
      </c>
      <c r="G32" s="9">
        <v>7.0000000000000007E-2</v>
      </c>
      <c r="H32" s="10">
        <f t="shared" si="1"/>
        <v>1</v>
      </c>
      <c r="I32" s="9">
        <v>9.2117415542156031</v>
      </c>
      <c r="J32" s="10">
        <v>16.159946220769495</v>
      </c>
      <c r="K32" s="9">
        <f t="shared" si="2"/>
        <v>1</v>
      </c>
      <c r="L32" s="10">
        <v>1.1191863863768328</v>
      </c>
      <c r="M32" s="9">
        <v>1</v>
      </c>
      <c r="N32" s="10">
        <f t="shared" si="3"/>
        <v>2</v>
      </c>
      <c r="O32" s="9">
        <v>0.56680989919931601</v>
      </c>
      <c r="P32" s="10">
        <v>5.04</v>
      </c>
      <c r="Q32" s="9">
        <f t="shared" si="4"/>
        <v>1</v>
      </c>
      <c r="R32" s="10">
        <v>0.39765231716525234</v>
      </c>
      <c r="S32" s="9">
        <v>0.34625829893647891</v>
      </c>
      <c r="T32" s="10">
        <f t="shared" si="5"/>
        <v>2</v>
      </c>
      <c r="U32" s="9">
        <v>0.28616998964181906</v>
      </c>
      <c r="V32" s="10">
        <v>0.24131459177248052</v>
      </c>
      <c r="W32" s="9">
        <f t="shared" si="6"/>
        <v>2</v>
      </c>
      <c r="X32" s="10">
        <v>0.75</v>
      </c>
      <c r="Y32" s="9">
        <v>0.39</v>
      </c>
      <c r="Z32" s="10">
        <v>3</v>
      </c>
      <c r="AA32" s="9">
        <v>3</v>
      </c>
    </row>
    <row r="33" spans="1:27" ht="15.75" customHeight="1" x14ac:dyDescent="0.25">
      <c r="A33" s="6">
        <v>2022</v>
      </c>
      <c r="B33" s="6" t="s">
        <v>25</v>
      </c>
      <c r="C33" s="11">
        <v>0.33172328365697346</v>
      </c>
      <c r="D33" s="12">
        <v>0.3502060561698675</v>
      </c>
      <c r="E33" s="11">
        <f t="shared" si="0"/>
        <v>1</v>
      </c>
      <c r="F33" s="12">
        <v>7.2014270819419635E-2</v>
      </c>
      <c r="G33" s="11">
        <v>0.08</v>
      </c>
      <c r="H33" s="12">
        <f t="shared" si="1"/>
        <v>1</v>
      </c>
      <c r="I33" s="11">
        <v>69.767998088227898</v>
      </c>
      <c r="J33" s="12">
        <v>46.36821614181882</v>
      </c>
      <c r="K33" s="11">
        <f t="shared" si="2"/>
        <v>2</v>
      </c>
      <c r="L33" s="12">
        <v>1.3585877545327982</v>
      </c>
      <c r="M33" s="11">
        <v>1.03</v>
      </c>
      <c r="N33" s="12">
        <f t="shared" si="3"/>
        <v>2</v>
      </c>
      <c r="O33" s="11">
        <v>6.3781014475285618</v>
      </c>
      <c r="P33" s="12">
        <v>0.24</v>
      </c>
      <c r="Q33" s="11">
        <f t="shared" si="4"/>
        <v>2</v>
      </c>
      <c r="R33" s="12">
        <v>0.32873944166896635</v>
      </c>
      <c r="S33" s="11">
        <v>0.3853705213414812</v>
      </c>
      <c r="T33" s="12">
        <f t="shared" si="5"/>
        <v>1</v>
      </c>
      <c r="U33" s="11">
        <v>0.32216227516744494</v>
      </c>
      <c r="V33" s="12">
        <v>0.24545658306029405</v>
      </c>
      <c r="W33" s="11">
        <f t="shared" si="6"/>
        <v>2</v>
      </c>
      <c r="X33" s="12">
        <v>0.85599999999999998</v>
      </c>
      <c r="Y33" s="11">
        <v>0.64</v>
      </c>
      <c r="Z33" s="12">
        <v>3</v>
      </c>
      <c r="AA33" s="11">
        <v>1</v>
      </c>
    </row>
    <row r="34" spans="1:27" ht="15.75" customHeight="1" x14ac:dyDescent="0.25">
      <c r="A34" s="4">
        <v>2022</v>
      </c>
      <c r="B34" s="4" t="s">
        <v>26</v>
      </c>
      <c r="C34" s="9">
        <v>0.34733487971978882</v>
      </c>
      <c r="D34" s="10">
        <v>0.35874328487855794</v>
      </c>
      <c r="E34" s="9">
        <f t="shared" si="0"/>
        <v>1</v>
      </c>
      <c r="F34" s="10">
        <v>0.34633991652168356</v>
      </c>
      <c r="G34" s="9">
        <v>0.31</v>
      </c>
      <c r="H34" s="10">
        <f t="shared" si="1"/>
        <v>2</v>
      </c>
      <c r="I34" s="9">
        <v>31.108898497920016</v>
      </c>
      <c r="J34" s="10">
        <v>5.7843508917136992</v>
      </c>
      <c r="K34" s="9">
        <f t="shared" si="2"/>
        <v>2</v>
      </c>
      <c r="L34" s="10">
        <v>1.3046109296380155</v>
      </c>
      <c r="M34" s="9">
        <v>1.04</v>
      </c>
      <c r="N34" s="10">
        <f t="shared" si="3"/>
        <v>2</v>
      </c>
      <c r="O34" s="9">
        <v>1.365482346265757</v>
      </c>
      <c r="P34" s="10">
        <v>6.69</v>
      </c>
      <c r="Q34" s="9">
        <f t="shared" si="4"/>
        <v>1</v>
      </c>
      <c r="R34" s="10">
        <v>0.36368380693005498</v>
      </c>
      <c r="S34" s="9">
        <v>0.4</v>
      </c>
      <c r="T34" s="10">
        <f t="shared" si="5"/>
        <v>1</v>
      </c>
      <c r="U34" s="9">
        <v>0.27612932012631058</v>
      </c>
      <c r="V34" s="10">
        <v>0.22519830731569129</v>
      </c>
      <c r="W34" s="9">
        <f t="shared" si="6"/>
        <v>2</v>
      </c>
      <c r="X34" s="10">
        <v>0.86699999999999999</v>
      </c>
      <c r="Y34" s="9">
        <v>0.92</v>
      </c>
      <c r="Z34" s="10">
        <v>3</v>
      </c>
      <c r="AA34" s="9">
        <v>1</v>
      </c>
    </row>
    <row r="35" spans="1:27" ht="15.75" customHeight="1" x14ac:dyDescent="0.25">
      <c r="A35" s="6">
        <v>2022</v>
      </c>
      <c r="B35" s="6" t="s">
        <v>27</v>
      </c>
      <c r="C35" s="11">
        <v>0.28631327782516514</v>
      </c>
      <c r="D35" s="12">
        <v>0.27999762010128049</v>
      </c>
      <c r="E35" s="11">
        <f t="shared" si="0"/>
        <v>2</v>
      </c>
      <c r="F35" s="12">
        <v>4.3247329777967414E-2</v>
      </c>
      <c r="G35" s="11">
        <v>0.04</v>
      </c>
      <c r="H35" s="12">
        <f t="shared" si="1"/>
        <v>2</v>
      </c>
      <c r="I35" s="11">
        <v>116.15768585240973</v>
      </c>
      <c r="J35" s="12">
        <v>2.22895630478954</v>
      </c>
      <c r="K35" s="11">
        <f t="shared" si="2"/>
        <v>2</v>
      </c>
      <c r="L35" s="12">
        <v>1.6987642500093172</v>
      </c>
      <c r="M35" s="11">
        <v>1.35</v>
      </c>
      <c r="N35" s="12">
        <f t="shared" si="3"/>
        <v>2</v>
      </c>
      <c r="O35" s="11">
        <v>8.6574319388817162</v>
      </c>
      <c r="P35" s="12">
        <v>0.53</v>
      </c>
      <c r="Q35" s="11">
        <f t="shared" si="4"/>
        <v>2</v>
      </c>
      <c r="R35" s="12">
        <v>0.20552097424643653</v>
      </c>
      <c r="S35" s="11">
        <v>0.16711611089906639</v>
      </c>
      <c r="T35" s="12">
        <f t="shared" si="5"/>
        <v>2</v>
      </c>
      <c r="U35" s="11">
        <v>0.4391953910741318</v>
      </c>
      <c r="V35" s="12">
        <v>0.35</v>
      </c>
      <c r="W35" s="11">
        <f t="shared" si="6"/>
        <v>2</v>
      </c>
      <c r="X35" s="12">
        <v>0.8</v>
      </c>
      <c r="Y35" s="11">
        <v>0.21</v>
      </c>
      <c r="Z35" s="12">
        <v>2</v>
      </c>
      <c r="AA35" s="11">
        <v>2</v>
      </c>
    </row>
    <row r="36" spans="1:27" ht="15.75" customHeight="1" x14ac:dyDescent="0.25">
      <c r="A36" s="4">
        <v>2022</v>
      </c>
      <c r="B36" s="4" t="s">
        <v>28</v>
      </c>
      <c r="C36" s="9">
        <v>0.32011157155175646</v>
      </c>
      <c r="D36" s="10">
        <v>0.29156346880959721</v>
      </c>
      <c r="E36" s="9">
        <f t="shared" si="0"/>
        <v>2</v>
      </c>
      <c r="F36" s="10">
        <v>0.10109954638240902</v>
      </c>
      <c r="G36" s="9">
        <v>0.4</v>
      </c>
      <c r="H36" s="10">
        <f t="shared" si="1"/>
        <v>1</v>
      </c>
      <c r="I36" s="9">
        <v>57.492367212390789</v>
      </c>
      <c r="J36" s="10">
        <v>34.520484710603434</v>
      </c>
      <c r="K36" s="9">
        <f t="shared" si="2"/>
        <v>2</v>
      </c>
      <c r="L36" s="10">
        <v>1.0918519608611859</v>
      </c>
      <c r="M36" s="9">
        <v>1.06</v>
      </c>
      <c r="N36" s="10">
        <f t="shared" si="3"/>
        <v>2</v>
      </c>
      <c r="O36" s="9">
        <v>6.7184086843592619</v>
      </c>
      <c r="P36" s="10">
        <v>2.2400000000000002</v>
      </c>
      <c r="Q36" s="9">
        <f t="shared" si="4"/>
        <v>2</v>
      </c>
      <c r="R36" s="10">
        <v>0.47408348836505082</v>
      </c>
      <c r="S36" s="9">
        <v>0.47623044064234704</v>
      </c>
      <c r="T36" s="10">
        <f t="shared" si="5"/>
        <v>1</v>
      </c>
      <c r="U36" s="9">
        <v>0.1753413175414249</v>
      </c>
      <c r="V36" s="10">
        <v>0.17900532098371816</v>
      </c>
      <c r="W36" s="9">
        <f t="shared" si="6"/>
        <v>1</v>
      </c>
      <c r="X36" s="10">
        <v>0.85299999999999998</v>
      </c>
      <c r="Y36" s="9">
        <v>0.92</v>
      </c>
      <c r="Z36" s="10">
        <v>3</v>
      </c>
      <c r="AA36" s="9">
        <v>3</v>
      </c>
    </row>
    <row r="37" spans="1:27" ht="15.75" customHeight="1" x14ac:dyDescent="0.25">
      <c r="A37" s="6">
        <v>2022</v>
      </c>
      <c r="B37" s="6" t="s">
        <v>29</v>
      </c>
      <c r="C37" s="11">
        <v>0.21133749246957659</v>
      </c>
      <c r="D37" s="12">
        <v>0.18009480051813923</v>
      </c>
      <c r="E37" s="11">
        <f t="shared" si="0"/>
        <v>2</v>
      </c>
      <c r="F37" s="12">
        <v>0.49127991342918875</v>
      </c>
      <c r="G37" s="11">
        <v>7.0000000000000007E-2</v>
      </c>
      <c r="H37" s="12">
        <f t="shared" si="1"/>
        <v>2</v>
      </c>
      <c r="I37" s="11">
        <v>12.196802077877628</v>
      </c>
      <c r="J37" s="12">
        <v>4.4113678231728759</v>
      </c>
      <c r="K37" s="11">
        <f t="shared" si="2"/>
        <v>2</v>
      </c>
      <c r="L37" s="12">
        <v>1.1090541896940918</v>
      </c>
      <c r="M37" s="11">
        <v>0.96</v>
      </c>
      <c r="N37" s="12">
        <f t="shared" si="3"/>
        <v>2</v>
      </c>
      <c r="O37" s="11">
        <v>0.24513784811846734</v>
      </c>
      <c r="P37" s="12">
        <v>0.08</v>
      </c>
      <c r="Q37" s="11">
        <f t="shared" si="4"/>
        <v>2</v>
      </c>
      <c r="R37" s="12">
        <v>0.34558242813214057</v>
      </c>
      <c r="S37" s="11">
        <v>0.19116808619765516</v>
      </c>
      <c r="T37" s="12">
        <f t="shared" si="5"/>
        <v>2</v>
      </c>
      <c r="U37" s="11">
        <v>0.25372740079689576</v>
      </c>
      <c r="V37" s="12">
        <v>0.182574630903825</v>
      </c>
      <c r="W37" s="11">
        <f t="shared" si="6"/>
        <v>2</v>
      </c>
      <c r="X37" s="12">
        <v>0.76900000000000002</v>
      </c>
      <c r="Y37" s="11">
        <v>0.32</v>
      </c>
      <c r="Z37" s="12">
        <v>3</v>
      </c>
      <c r="AA37" s="11">
        <v>3</v>
      </c>
    </row>
    <row r="38" spans="1:27" ht="15.75" customHeight="1" x14ac:dyDescent="0.25">
      <c r="A38" s="6">
        <v>2023</v>
      </c>
      <c r="B38" s="6" t="s">
        <v>12</v>
      </c>
      <c r="C38" s="13">
        <v>0.28685641467403655</v>
      </c>
      <c r="D38" s="10">
        <v>0.25946560071668395</v>
      </c>
      <c r="E38" s="13">
        <f t="shared" si="0"/>
        <v>2</v>
      </c>
      <c r="F38" s="10">
        <v>0.10863065191814616</v>
      </c>
      <c r="G38" s="13">
        <v>0.10749964458265313</v>
      </c>
      <c r="H38" s="10">
        <f t="shared" si="1"/>
        <v>2</v>
      </c>
      <c r="I38" s="13">
        <v>3.7993682475825894</v>
      </c>
      <c r="J38" s="10">
        <v>6.0139067492026737</v>
      </c>
      <c r="K38" s="13">
        <f t="shared" si="2"/>
        <v>1</v>
      </c>
      <c r="L38" s="10">
        <v>1.0321753004916354</v>
      </c>
      <c r="M38" s="13">
        <v>1.0784025506028911</v>
      </c>
      <c r="N38" s="10">
        <f t="shared" si="3"/>
        <v>1</v>
      </c>
      <c r="O38" s="13">
        <v>0.34882561278551422</v>
      </c>
      <c r="P38" s="10">
        <v>0.54158730694851787</v>
      </c>
      <c r="Q38" s="13">
        <f t="shared" si="4"/>
        <v>1</v>
      </c>
      <c r="R38" s="10">
        <v>0.4020092150194744</v>
      </c>
      <c r="S38" s="13">
        <v>0.40936948385760757</v>
      </c>
      <c r="T38" s="10">
        <f t="shared" si="5"/>
        <v>1</v>
      </c>
      <c r="U38" s="13">
        <v>0.18890887636379752</v>
      </c>
      <c r="V38" s="10">
        <v>0.21452254388122804</v>
      </c>
      <c r="W38" s="13">
        <f t="shared" si="6"/>
        <v>1</v>
      </c>
      <c r="X38" s="10">
        <v>0.85929999999999995</v>
      </c>
      <c r="Y38" s="13">
        <v>0.74</v>
      </c>
      <c r="Z38" s="10">
        <v>3</v>
      </c>
      <c r="AA38" s="13">
        <v>3</v>
      </c>
    </row>
    <row r="39" spans="1:27" ht="15.75" customHeight="1" x14ac:dyDescent="0.25">
      <c r="A39" s="6">
        <v>2023</v>
      </c>
      <c r="B39" s="6" t="s">
        <v>13</v>
      </c>
      <c r="C39" s="11">
        <v>0.3026769721055001</v>
      </c>
      <c r="D39" s="12">
        <v>0.24414651632443254</v>
      </c>
      <c r="E39" s="11">
        <f t="shared" si="0"/>
        <v>2</v>
      </c>
      <c r="F39" s="12">
        <v>4.4207297403024468E-2</v>
      </c>
      <c r="G39" s="11">
        <v>4.1410217323592645E-2</v>
      </c>
      <c r="H39" s="12">
        <f t="shared" si="1"/>
        <v>2</v>
      </c>
      <c r="I39" s="11">
        <v>1.2956176016346876</v>
      </c>
      <c r="J39" s="12">
        <v>9.6538185070451679</v>
      </c>
      <c r="K39" s="11">
        <f t="shared" si="2"/>
        <v>1</v>
      </c>
      <c r="L39" s="12">
        <v>1.169774511096829</v>
      </c>
      <c r="M39" s="11">
        <v>1.2559416586999046</v>
      </c>
      <c r="N39" s="12">
        <f t="shared" si="3"/>
        <v>1</v>
      </c>
      <c r="O39" s="11">
        <v>1.6404987030348882E-2</v>
      </c>
      <c r="P39" s="12">
        <v>0.20810545641312758</v>
      </c>
      <c r="Q39" s="11">
        <f t="shared" si="4"/>
        <v>1</v>
      </c>
      <c r="R39" s="12">
        <v>0.33549379964798126</v>
      </c>
      <c r="S39" s="11">
        <v>0.27864407643186978</v>
      </c>
      <c r="T39" s="12">
        <f t="shared" si="5"/>
        <v>2</v>
      </c>
      <c r="U39" s="11">
        <v>0.28594259368002856</v>
      </c>
      <c r="V39" s="12">
        <v>0.41564955497580919</v>
      </c>
      <c r="W39" s="11">
        <f t="shared" si="6"/>
        <v>1</v>
      </c>
      <c r="X39" s="12">
        <v>0.85560000000000003</v>
      </c>
      <c r="Y39" s="11">
        <v>0.74</v>
      </c>
      <c r="Z39" s="12">
        <v>2</v>
      </c>
      <c r="AA39" s="11">
        <v>2</v>
      </c>
    </row>
    <row r="40" spans="1:27" ht="15.75" customHeight="1" x14ac:dyDescent="0.25">
      <c r="A40" s="4">
        <v>2023</v>
      </c>
      <c r="B40" s="4" t="s">
        <v>14</v>
      </c>
      <c r="C40" s="9">
        <v>0.20941851305896603</v>
      </c>
      <c r="D40" s="10">
        <v>0.21601817648490287</v>
      </c>
      <c r="E40" s="9">
        <f t="shared" si="0"/>
        <v>1</v>
      </c>
      <c r="F40" s="10">
        <v>7.2170004085782974E-2</v>
      </c>
      <c r="G40" s="9">
        <v>7.2407823544241828E-2</v>
      </c>
      <c r="H40" s="10">
        <f t="shared" si="1"/>
        <v>1</v>
      </c>
      <c r="I40" s="9">
        <v>41.065384784451368</v>
      </c>
      <c r="J40" s="10">
        <v>71.249384218355331</v>
      </c>
      <c r="K40" s="9">
        <f t="shared" si="2"/>
        <v>1</v>
      </c>
      <c r="L40" s="10">
        <v>1.4313004703013705</v>
      </c>
      <c r="M40" s="9">
        <v>1.3145696063939116</v>
      </c>
      <c r="N40" s="10">
        <f t="shared" si="3"/>
        <v>2</v>
      </c>
      <c r="O40" s="9">
        <v>19.072017421768887</v>
      </c>
      <c r="P40" s="10">
        <v>37.474667707613904</v>
      </c>
      <c r="Q40" s="9">
        <f t="shared" si="4"/>
        <v>1</v>
      </c>
      <c r="R40" s="10">
        <v>0.24313247545845479</v>
      </c>
      <c r="S40" s="9">
        <v>0.33591782336308118</v>
      </c>
      <c r="T40" s="10">
        <f t="shared" si="5"/>
        <v>1</v>
      </c>
      <c r="U40" s="9">
        <v>0.42597584115549636</v>
      </c>
      <c r="V40" s="10">
        <v>0.35156620543376299</v>
      </c>
      <c r="W40" s="9">
        <f t="shared" si="6"/>
        <v>2</v>
      </c>
      <c r="X40" s="10">
        <v>0.87929999999999997</v>
      </c>
      <c r="Y40" s="9">
        <v>0.4</v>
      </c>
      <c r="Z40" s="10">
        <v>3</v>
      </c>
      <c r="AA40" s="9">
        <v>3</v>
      </c>
    </row>
    <row r="41" spans="1:27" ht="15.75" customHeight="1" x14ac:dyDescent="0.25">
      <c r="A41" s="6">
        <v>2023</v>
      </c>
      <c r="B41" s="6" t="s">
        <v>15</v>
      </c>
      <c r="C41" s="11">
        <v>0.28915680399686472</v>
      </c>
      <c r="D41" s="12">
        <v>0.27979390032905432</v>
      </c>
      <c r="E41" s="11">
        <f t="shared" si="0"/>
        <v>2</v>
      </c>
      <c r="F41" s="12">
        <v>0.12632690518574788</v>
      </c>
      <c r="G41" s="11">
        <v>9.8444152755189876E-2</v>
      </c>
      <c r="H41" s="12">
        <f t="shared" si="1"/>
        <v>2</v>
      </c>
      <c r="I41" s="11">
        <v>2.8448910713437594</v>
      </c>
      <c r="J41" s="12">
        <v>9.7699734903730224</v>
      </c>
      <c r="K41" s="11">
        <f t="shared" si="2"/>
        <v>1</v>
      </c>
      <c r="L41" s="12">
        <v>1.218011191809288</v>
      </c>
      <c r="M41" s="11">
        <v>1.2738423788102775</v>
      </c>
      <c r="N41" s="12">
        <f t="shared" si="3"/>
        <v>1</v>
      </c>
      <c r="O41" s="11">
        <v>4.3679861748390537E-2</v>
      </c>
      <c r="P41" s="12">
        <v>0.66349621993398977</v>
      </c>
      <c r="Q41" s="11">
        <f t="shared" si="4"/>
        <v>1</v>
      </c>
      <c r="R41" s="12">
        <v>0.36825609349164623</v>
      </c>
      <c r="S41" s="11">
        <v>0.30892197129379384</v>
      </c>
      <c r="T41" s="12">
        <f t="shared" si="5"/>
        <v>2</v>
      </c>
      <c r="U41" s="11">
        <v>0.27810786054442022</v>
      </c>
      <c r="V41" s="12">
        <v>0.36824496850935484</v>
      </c>
      <c r="W41" s="11">
        <f t="shared" si="6"/>
        <v>1</v>
      </c>
      <c r="X41" s="12">
        <v>0.83599999999999997</v>
      </c>
      <c r="Y41" s="11">
        <v>0.78</v>
      </c>
      <c r="Z41" s="12">
        <v>3</v>
      </c>
      <c r="AA41" s="11">
        <v>2</v>
      </c>
    </row>
    <row r="42" spans="1:27" ht="15.75" customHeight="1" x14ac:dyDescent="0.25">
      <c r="A42" s="6">
        <v>2023</v>
      </c>
      <c r="B42" s="6" t="s">
        <v>16</v>
      </c>
      <c r="C42" s="11">
        <v>0.25619218723708681</v>
      </c>
      <c r="D42" s="10">
        <v>0.27401171921546247</v>
      </c>
      <c r="E42" s="11">
        <f t="shared" si="0"/>
        <v>1</v>
      </c>
      <c r="F42" s="10">
        <v>0.11544065358125448</v>
      </c>
      <c r="G42" s="11">
        <v>7.6895710406915369E-2</v>
      </c>
      <c r="H42" s="10">
        <f t="shared" si="1"/>
        <v>2</v>
      </c>
      <c r="I42" s="11">
        <v>61.298526900268598</v>
      </c>
      <c r="J42" s="10">
        <v>112.20132295385517</v>
      </c>
      <c r="K42" s="11">
        <f t="shared" si="2"/>
        <v>1</v>
      </c>
      <c r="L42" s="10">
        <v>1.2122846018984519</v>
      </c>
      <c r="M42" s="11">
        <v>1.4506582288899461</v>
      </c>
      <c r="N42" s="10">
        <f t="shared" si="3"/>
        <v>1</v>
      </c>
      <c r="O42" s="11">
        <v>11.560820080890487</v>
      </c>
      <c r="P42" s="10">
        <v>50.891577968339661</v>
      </c>
      <c r="Q42" s="11">
        <f t="shared" si="4"/>
        <v>1</v>
      </c>
      <c r="R42" s="10">
        <v>0.31082440382967003</v>
      </c>
      <c r="S42" s="11">
        <v>0.34413715369841424</v>
      </c>
      <c r="T42" s="10">
        <f t="shared" si="5"/>
        <v>1</v>
      </c>
      <c r="U42" s="11">
        <v>0.34986163763372485</v>
      </c>
      <c r="V42" s="10">
        <v>0.31358623216386738</v>
      </c>
      <c r="W42" s="11">
        <f t="shared" si="6"/>
        <v>2</v>
      </c>
      <c r="X42" s="10">
        <v>0.89300000000000002</v>
      </c>
      <c r="Y42" s="11">
        <v>0.7</v>
      </c>
      <c r="Z42" s="10">
        <v>2</v>
      </c>
      <c r="AA42" s="11">
        <v>3</v>
      </c>
    </row>
    <row r="43" spans="1:27" ht="15.75" customHeight="1" x14ac:dyDescent="0.25">
      <c r="A43" s="6">
        <v>2023</v>
      </c>
      <c r="B43" s="6" t="s">
        <v>17</v>
      </c>
      <c r="C43" s="12">
        <v>0.33255992040864607</v>
      </c>
      <c r="D43" s="12">
        <v>0.3479505074439882</v>
      </c>
      <c r="E43" s="12">
        <f t="shared" si="0"/>
        <v>1</v>
      </c>
      <c r="F43" s="12">
        <v>9.7024476362987416E-2</v>
      </c>
      <c r="G43" s="12">
        <v>0.10943066814512763</v>
      </c>
      <c r="H43" s="12">
        <f t="shared" si="1"/>
        <v>1</v>
      </c>
      <c r="I43" s="12">
        <v>12.04340910835459</v>
      </c>
      <c r="J43" s="12">
        <v>7.0957005137458751</v>
      </c>
      <c r="K43" s="12">
        <f t="shared" si="2"/>
        <v>2</v>
      </c>
      <c r="L43" s="12">
        <v>1.2090968519068972</v>
      </c>
      <c r="M43" s="12">
        <v>1.1308276117560951</v>
      </c>
      <c r="N43" s="12">
        <f t="shared" si="3"/>
        <v>2</v>
      </c>
      <c r="O43" s="12">
        <v>2.1238227074505205</v>
      </c>
      <c r="P43" s="12">
        <v>0.44781327061235249</v>
      </c>
      <c r="Q43" s="12">
        <f t="shared" si="4"/>
        <v>2</v>
      </c>
      <c r="R43" s="12">
        <v>0.33574555389956223</v>
      </c>
      <c r="S43" s="12">
        <v>0.35756256020027921</v>
      </c>
      <c r="T43" s="12">
        <f t="shared" si="5"/>
        <v>1</v>
      </c>
      <c r="U43" s="12">
        <v>0.24198842957902175</v>
      </c>
      <c r="V43" s="12">
        <v>0.22171272460773458</v>
      </c>
      <c r="W43" s="12">
        <f t="shared" si="6"/>
        <v>2</v>
      </c>
      <c r="X43" s="12">
        <v>0.84619999999999995</v>
      </c>
      <c r="Y43" s="12">
        <v>0.3</v>
      </c>
      <c r="Z43" s="12">
        <v>1</v>
      </c>
      <c r="AA43" s="12">
        <v>1</v>
      </c>
    </row>
    <row r="44" spans="1:27" ht="15.75" customHeight="1" x14ac:dyDescent="0.25">
      <c r="A44" s="6">
        <v>2023</v>
      </c>
      <c r="B44" s="6" t="s">
        <v>18</v>
      </c>
      <c r="C44" s="11">
        <v>0.25258847790669098</v>
      </c>
      <c r="D44" s="10">
        <v>0.25878982327255845</v>
      </c>
      <c r="E44" s="11">
        <f t="shared" si="0"/>
        <v>1</v>
      </c>
      <c r="F44" s="10">
        <v>6.8689630561650922E-2</v>
      </c>
      <c r="G44" s="11">
        <v>7.5628653976568871E-2</v>
      </c>
      <c r="H44" s="10">
        <f t="shared" si="1"/>
        <v>1</v>
      </c>
      <c r="I44" s="11">
        <v>9.3893186751478215</v>
      </c>
      <c r="J44" s="10">
        <v>18.130748979223057</v>
      </c>
      <c r="K44" s="11">
        <f t="shared" si="2"/>
        <v>1</v>
      </c>
      <c r="L44" s="10">
        <v>1.1662278799854935</v>
      </c>
      <c r="M44" s="11">
        <v>1.0821147478719515</v>
      </c>
      <c r="N44" s="10">
        <f t="shared" si="3"/>
        <v>2</v>
      </c>
      <c r="O44" s="11">
        <v>5.1473699089058407</v>
      </c>
      <c r="P44" s="10">
        <v>10.485418605852127</v>
      </c>
      <c r="Q44" s="11">
        <f t="shared" si="4"/>
        <v>1</v>
      </c>
      <c r="R44" s="10">
        <v>0.38175763820037312</v>
      </c>
      <c r="S44" s="11">
        <v>0.41212704422139945</v>
      </c>
      <c r="T44" s="10">
        <f t="shared" si="5"/>
        <v>1</v>
      </c>
      <c r="U44" s="11">
        <v>0.29406209763344943</v>
      </c>
      <c r="V44" s="10">
        <v>0.27300774471168804</v>
      </c>
      <c r="W44" s="11">
        <f t="shared" si="6"/>
        <v>2</v>
      </c>
      <c r="X44" s="10">
        <v>0.88639999999999997</v>
      </c>
      <c r="Y44" s="11">
        <v>0.69</v>
      </c>
      <c r="Z44" s="10">
        <v>2</v>
      </c>
      <c r="AA44" s="11">
        <v>2</v>
      </c>
    </row>
    <row r="45" spans="1:27" ht="15.75" customHeight="1" x14ac:dyDescent="0.25">
      <c r="A45" s="6">
        <v>2023</v>
      </c>
      <c r="B45" s="6" t="s">
        <v>19</v>
      </c>
      <c r="C45" s="11">
        <v>0.21986406226997537</v>
      </c>
      <c r="D45" s="12">
        <v>0.27747638303060485</v>
      </c>
      <c r="E45" s="11">
        <f t="shared" si="0"/>
        <v>1</v>
      </c>
      <c r="F45" s="12">
        <v>4.935442675480288E-2</v>
      </c>
      <c r="G45" s="11">
        <v>4.3280479255846806E-2</v>
      </c>
      <c r="H45" s="12">
        <f t="shared" si="1"/>
        <v>2</v>
      </c>
      <c r="I45" s="11">
        <v>11.750035535348996</v>
      </c>
      <c r="J45" s="12">
        <v>59.055166095452442</v>
      </c>
      <c r="K45" s="11">
        <f t="shared" si="2"/>
        <v>1</v>
      </c>
      <c r="L45" s="12">
        <v>1.4427403397682639</v>
      </c>
      <c r="M45" s="11">
        <v>1.419393208447512</v>
      </c>
      <c r="N45" s="12">
        <f t="shared" si="3"/>
        <v>2</v>
      </c>
      <c r="O45" s="11">
        <v>0.42999085984965019</v>
      </c>
      <c r="P45" s="12">
        <v>1.2591454334080727</v>
      </c>
      <c r="Q45" s="11">
        <f t="shared" si="4"/>
        <v>1</v>
      </c>
      <c r="R45" s="12">
        <v>0.20225944056455988</v>
      </c>
      <c r="S45" s="11">
        <v>0.26890346484754407</v>
      </c>
      <c r="T45" s="12">
        <f t="shared" si="5"/>
        <v>1</v>
      </c>
      <c r="U45" s="11">
        <v>0.51869056954294313</v>
      </c>
      <c r="V45" s="12">
        <v>0.38934852538229914</v>
      </c>
      <c r="W45" s="11">
        <f t="shared" si="6"/>
        <v>2</v>
      </c>
      <c r="X45" s="12">
        <v>0.79259999999999997</v>
      </c>
      <c r="Y45" s="11">
        <v>0.09</v>
      </c>
      <c r="Z45" s="12">
        <v>2</v>
      </c>
      <c r="AA45" s="11">
        <v>2</v>
      </c>
    </row>
    <row r="46" spans="1:27" ht="15.75" customHeight="1" x14ac:dyDescent="0.25">
      <c r="A46" s="4">
        <v>2023</v>
      </c>
      <c r="B46" s="4" t="s">
        <v>20</v>
      </c>
      <c r="C46" s="9">
        <v>0.26990261467855359</v>
      </c>
      <c r="D46" s="10">
        <v>0.26411765630764666</v>
      </c>
      <c r="E46" s="9">
        <f t="shared" si="0"/>
        <v>2</v>
      </c>
      <c r="F46" s="10">
        <v>8.0800713325578449E-2</v>
      </c>
      <c r="G46" s="9">
        <v>7.2467880767043732E-2</v>
      </c>
      <c r="H46" s="10">
        <f t="shared" si="1"/>
        <v>2</v>
      </c>
      <c r="I46" s="9">
        <v>9.9224928781056718</v>
      </c>
      <c r="J46" s="10">
        <v>42.581837093370893</v>
      </c>
      <c r="K46" s="9">
        <f t="shared" si="2"/>
        <v>1</v>
      </c>
      <c r="L46" s="10">
        <v>1.0015813026440221</v>
      </c>
      <c r="M46" s="9">
        <v>1.1053753233008314</v>
      </c>
      <c r="N46" s="10">
        <f t="shared" si="3"/>
        <v>1</v>
      </c>
      <c r="O46" s="9">
        <v>0.575449302323505</v>
      </c>
      <c r="P46" s="10">
        <v>12.942252856955117</v>
      </c>
      <c r="Q46" s="9">
        <f t="shared" si="4"/>
        <v>1</v>
      </c>
      <c r="R46" s="10">
        <v>0.34494140641613358</v>
      </c>
      <c r="S46" s="9">
        <v>0.41157107575272261</v>
      </c>
      <c r="T46" s="10">
        <f t="shared" si="5"/>
        <v>1</v>
      </c>
      <c r="U46" s="9">
        <v>0.29670905950903415</v>
      </c>
      <c r="V46" s="10">
        <v>0.24412464696028782</v>
      </c>
      <c r="W46" s="9">
        <f t="shared" si="6"/>
        <v>2</v>
      </c>
      <c r="X46" s="10">
        <v>0.81020000000000003</v>
      </c>
      <c r="Y46" s="9">
        <v>0.48</v>
      </c>
      <c r="Z46" s="10">
        <v>1</v>
      </c>
      <c r="AA46" s="9">
        <v>2</v>
      </c>
    </row>
    <row r="47" spans="1:27" ht="15.75" customHeight="1" x14ac:dyDescent="0.25">
      <c r="A47" s="4">
        <v>2023</v>
      </c>
      <c r="B47" s="4" t="s">
        <v>21</v>
      </c>
      <c r="C47" s="9">
        <v>0.29568817321084728</v>
      </c>
      <c r="D47" s="12">
        <v>0.27782144786858781</v>
      </c>
      <c r="E47" s="9">
        <f t="shared" si="0"/>
        <v>2</v>
      </c>
      <c r="F47" s="12">
        <v>8.2571938579086263E-2</v>
      </c>
      <c r="G47" s="9">
        <v>8.0713711215589096E-2</v>
      </c>
      <c r="H47" s="12">
        <f t="shared" si="1"/>
        <v>2</v>
      </c>
      <c r="I47" s="9">
        <v>5.8687387131126032</v>
      </c>
      <c r="J47" s="12">
        <v>9.1538528713186764</v>
      </c>
      <c r="K47" s="9">
        <f t="shared" si="2"/>
        <v>1</v>
      </c>
      <c r="L47" s="12">
        <v>1.0112842361490038</v>
      </c>
      <c r="M47" s="9">
        <v>1.0511058150706329</v>
      </c>
      <c r="N47" s="12">
        <f t="shared" si="3"/>
        <v>1</v>
      </c>
      <c r="O47" s="9">
        <v>0.10865998018179049</v>
      </c>
      <c r="P47" s="12">
        <v>0.26253402394763992</v>
      </c>
      <c r="Q47" s="9">
        <f t="shared" si="4"/>
        <v>1</v>
      </c>
      <c r="R47" s="12">
        <v>0.38436663477121563</v>
      </c>
      <c r="S47" s="9">
        <v>0.41353693829949029</v>
      </c>
      <c r="T47" s="12">
        <f t="shared" si="5"/>
        <v>1</v>
      </c>
      <c r="U47" s="9">
        <v>0.22837436258582952</v>
      </c>
      <c r="V47" s="12">
        <v>0.23564164212509492</v>
      </c>
      <c r="W47" s="9">
        <f t="shared" si="6"/>
        <v>1</v>
      </c>
      <c r="X47" s="12">
        <v>0.90039999999999998</v>
      </c>
      <c r="Y47" s="9">
        <v>0.3</v>
      </c>
      <c r="Z47" s="12">
        <v>2</v>
      </c>
      <c r="AA47" s="9">
        <v>2</v>
      </c>
    </row>
    <row r="48" spans="1:27" ht="15.75" customHeight="1" x14ac:dyDescent="0.25">
      <c r="A48" s="4">
        <v>2023</v>
      </c>
      <c r="B48" s="4" t="s">
        <v>22</v>
      </c>
      <c r="C48" s="9">
        <v>0.25614866186861007</v>
      </c>
      <c r="D48" s="10">
        <v>0.24369547522713922</v>
      </c>
      <c r="E48" s="9">
        <f t="shared" si="0"/>
        <v>2</v>
      </c>
      <c r="F48" s="10">
        <v>9.5773546645350996E-2</v>
      </c>
      <c r="G48" s="9">
        <v>8.0982484637731791E-2</v>
      </c>
      <c r="H48" s="10">
        <f t="shared" si="1"/>
        <v>2</v>
      </c>
      <c r="I48" s="9">
        <v>14.997809894266444</v>
      </c>
      <c r="J48" s="10">
        <v>14.549017610134296</v>
      </c>
      <c r="K48" s="9">
        <f t="shared" si="2"/>
        <v>2</v>
      </c>
      <c r="L48" s="10">
        <v>1.0938227846553037</v>
      </c>
      <c r="M48" s="9">
        <v>1.130371288632035</v>
      </c>
      <c r="N48" s="10">
        <f t="shared" si="3"/>
        <v>1</v>
      </c>
      <c r="O48" s="9">
        <v>0.84283741057296391</v>
      </c>
      <c r="P48" s="10">
        <v>0.985007174215901</v>
      </c>
      <c r="Q48" s="9">
        <f t="shared" si="4"/>
        <v>1</v>
      </c>
      <c r="R48" s="10">
        <v>0.40052902803138285</v>
      </c>
      <c r="S48" s="9">
        <v>0.39899616117162373</v>
      </c>
      <c r="T48" s="10">
        <f t="shared" si="5"/>
        <v>2</v>
      </c>
      <c r="U48" s="9">
        <v>0.19913449306293579</v>
      </c>
      <c r="V48" s="10">
        <v>0.24522333664151891</v>
      </c>
      <c r="W48" s="9">
        <f t="shared" si="6"/>
        <v>1</v>
      </c>
      <c r="X48" s="10">
        <v>0.86729999999999996</v>
      </c>
      <c r="Y48" s="9">
        <v>0.28000000000000003</v>
      </c>
      <c r="Z48" s="10">
        <v>2</v>
      </c>
      <c r="AA48" s="9">
        <v>3</v>
      </c>
    </row>
    <row r="49" spans="1:27" ht="15.75" customHeight="1" x14ac:dyDescent="0.25">
      <c r="A49" s="6">
        <v>2023</v>
      </c>
      <c r="B49" s="6" t="s">
        <v>23</v>
      </c>
      <c r="C49" s="11">
        <v>0.22844728553580215</v>
      </c>
      <c r="D49" s="12">
        <v>0.20540695807705908</v>
      </c>
      <c r="E49" s="11">
        <f t="shared" si="0"/>
        <v>2</v>
      </c>
      <c r="F49" s="12">
        <v>5.1608203074176982E-2</v>
      </c>
      <c r="G49" s="11">
        <v>4.0872126320690122E-2</v>
      </c>
      <c r="H49" s="12">
        <f t="shared" si="1"/>
        <v>2</v>
      </c>
      <c r="I49" s="11">
        <v>0.85097054089509327</v>
      </c>
      <c r="J49" s="12">
        <v>25.125007800160592</v>
      </c>
      <c r="K49" s="11">
        <f t="shared" si="2"/>
        <v>1</v>
      </c>
      <c r="L49" s="12">
        <v>1.0427430609376982</v>
      </c>
      <c r="M49" s="11">
        <v>1.2294676992404243</v>
      </c>
      <c r="N49" s="12">
        <f t="shared" si="3"/>
        <v>1</v>
      </c>
      <c r="O49" s="11">
        <v>2.2783334998421161E-2</v>
      </c>
      <c r="P49" s="12">
        <v>1.1950159291600866</v>
      </c>
      <c r="Q49" s="11">
        <f t="shared" si="4"/>
        <v>1</v>
      </c>
      <c r="R49" s="12">
        <v>0.40412107109129691</v>
      </c>
      <c r="S49" s="11">
        <v>0.38903492136193607</v>
      </c>
      <c r="T49" s="12">
        <f t="shared" si="5"/>
        <v>2</v>
      </c>
      <c r="U49" s="11">
        <v>0.2685975593392223</v>
      </c>
      <c r="V49" s="12">
        <v>0.33788912126607906</v>
      </c>
      <c r="W49" s="11">
        <f t="shared" si="6"/>
        <v>1</v>
      </c>
      <c r="X49" s="12">
        <v>0.89229999999999998</v>
      </c>
      <c r="Y49" s="11">
        <v>0.66</v>
      </c>
      <c r="Z49" s="12">
        <v>3</v>
      </c>
      <c r="AA49" s="11">
        <v>2</v>
      </c>
    </row>
    <row r="50" spans="1:27" ht="15.75" customHeight="1" x14ac:dyDescent="0.25">
      <c r="A50" s="4">
        <v>2023</v>
      </c>
      <c r="B50" s="4" t="s">
        <v>24</v>
      </c>
      <c r="C50" s="9">
        <v>0.2656805237528671</v>
      </c>
      <c r="D50" s="10">
        <v>0.24767420020193995</v>
      </c>
      <c r="E50" s="9">
        <f t="shared" si="0"/>
        <v>2</v>
      </c>
      <c r="F50" s="10">
        <v>6.2610467776761658E-2</v>
      </c>
      <c r="G50" s="9">
        <v>5.5752267776000758E-2</v>
      </c>
      <c r="H50" s="10">
        <f t="shared" si="1"/>
        <v>2</v>
      </c>
      <c r="I50" s="9">
        <v>2.0822710983112613</v>
      </c>
      <c r="J50" s="10">
        <v>9.2117415542156031</v>
      </c>
      <c r="K50" s="9">
        <f t="shared" si="2"/>
        <v>1</v>
      </c>
      <c r="L50" s="10">
        <v>1.0354113636375544</v>
      </c>
      <c r="M50" s="9">
        <v>1.1191863863768328</v>
      </c>
      <c r="N50" s="10">
        <f t="shared" si="3"/>
        <v>1</v>
      </c>
      <c r="O50" s="9">
        <v>4.3430491189208241E-2</v>
      </c>
      <c r="P50" s="10">
        <v>0.56680989919931601</v>
      </c>
      <c r="Q50" s="9">
        <f t="shared" si="4"/>
        <v>1</v>
      </c>
      <c r="R50" s="10">
        <v>0.38900669965029883</v>
      </c>
      <c r="S50" s="9">
        <v>0.39765231716525234</v>
      </c>
      <c r="T50" s="10">
        <f t="shared" si="5"/>
        <v>1</v>
      </c>
      <c r="U50" s="9">
        <v>0.25937584447962198</v>
      </c>
      <c r="V50" s="10">
        <v>0.28616998964181906</v>
      </c>
      <c r="W50" s="9">
        <f t="shared" si="6"/>
        <v>1</v>
      </c>
      <c r="X50" s="10">
        <v>0.85940000000000005</v>
      </c>
      <c r="Y50" s="9">
        <v>0.37</v>
      </c>
      <c r="Z50" s="10">
        <v>3</v>
      </c>
      <c r="AA50" s="9">
        <v>3</v>
      </c>
    </row>
    <row r="51" spans="1:27" ht="15.75" customHeight="1" x14ac:dyDescent="0.25">
      <c r="A51" s="4">
        <v>2023</v>
      </c>
      <c r="B51" s="4" t="s">
        <v>25</v>
      </c>
      <c r="C51" s="9">
        <v>0.3267855001112297</v>
      </c>
      <c r="D51" s="12">
        <v>0.33172328365697346</v>
      </c>
      <c r="E51" s="9">
        <f t="shared" si="0"/>
        <v>1</v>
      </c>
      <c r="F51" s="12">
        <v>8.6286091473582974E-2</v>
      </c>
      <c r="G51" s="9">
        <v>7.2014270819419635E-2</v>
      </c>
      <c r="H51" s="12">
        <f t="shared" si="1"/>
        <v>2</v>
      </c>
      <c r="I51" s="9">
        <v>48.965366516794624</v>
      </c>
      <c r="J51" s="12">
        <v>69.767998088227898</v>
      </c>
      <c r="K51" s="9">
        <f t="shared" si="2"/>
        <v>1</v>
      </c>
      <c r="L51" s="12">
        <v>1.2488178251265232</v>
      </c>
      <c r="M51" s="9">
        <v>1.3585877545327982</v>
      </c>
      <c r="N51" s="12">
        <f t="shared" si="3"/>
        <v>1</v>
      </c>
      <c r="O51" s="9">
        <v>7.3524436271887605</v>
      </c>
      <c r="P51" s="12">
        <v>6.3781014475285618</v>
      </c>
      <c r="Q51" s="9">
        <f t="shared" si="4"/>
        <v>2</v>
      </c>
      <c r="R51" s="12">
        <v>0.31505878561739153</v>
      </c>
      <c r="S51" s="9">
        <v>0.32873944166896635</v>
      </c>
      <c r="T51" s="12">
        <f t="shared" si="5"/>
        <v>1</v>
      </c>
      <c r="U51" s="9">
        <v>0.33404510374273089</v>
      </c>
      <c r="V51" s="12">
        <v>0.32216227516744494</v>
      </c>
      <c r="W51" s="9">
        <f t="shared" si="6"/>
        <v>2</v>
      </c>
      <c r="X51" s="12">
        <v>0.87509999999999999</v>
      </c>
      <c r="Y51" s="9">
        <v>0.56000000000000005</v>
      </c>
      <c r="Z51" s="12">
        <v>1</v>
      </c>
      <c r="AA51" s="9">
        <v>2</v>
      </c>
    </row>
    <row r="52" spans="1:27" ht="15.75" customHeight="1" x14ac:dyDescent="0.25">
      <c r="A52" s="4">
        <v>2023</v>
      </c>
      <c r="B52" s="4" t="s">
        <v>26</v>
      </c>
      <c r="C52" s="9">
        <v>0.3138210984744052</v>
      </c>
      <c r="D52" s="10">
        <v>0.34733487971978882</v>
      </c>
      <c r="E52" s="9">
        <f t="shared" si="0"/>
        <v>1</v>
      </c>
      <c r="F52" s="10">
        <v>0.34393653721470485</v>
      </c>
      <c r="G52" s="9">
        <v>0.34633991652168356</v>
      </c>
      <c r="H52" s="10">
        <f t="shared" si="1"/>
        <v>1</v>
      </c>
      <c r="I52" s="9">
        <v>36.900464856121438</v>
      </c>
      <c r="J52" s="10">
        <v>31.108898497920016</v>
      </c>
      <c r="K52" s="9">
        <f t="shared" si="2"/>
        <v>2</v>
      </c>
      <c r="L52" s="10">
        <v>1.30971417432982</v>
      </c>
      <c r="M52" s="9">
        <v>1.3046109296380155</v>
      </c>
      <c r="N52" s="10">
        <f t="shared" si="3"/>
        <v>2</v>
      </c>
      <c r="O52" s="9">
        <v>2.0047756300010158</v>
      </c>
      <c r="P52" s="10">
        <v>1.365482346265757</v>
      </c>
      <c r="Q52" s="9">
        <f t="shared" si="4"/>
        <v>2</v>
      </c>
      <c r="R52" s="10">
        <v>0.37555459464216778</v>
      </c>
      <c r="S52" s="9">
        <v>0.36368380693005498</v>
      </c>
      <c r="T52" s="10">
        <f t="shared" si="5"/>
        <v>2</v>
      </c>
      <c r="U52" s="9">
        <v>0.27260538245967114</v>
      </c>
      <c r="V52" s="10">
        <v>0.27612932012631058</v>
      </c>
      <c r="W52" s="9">
        <f t="shared" si="6"/>
        <v>1</v>
      </c>
      <c r="X52" s="10">
        <v>0.87209999999999999</v>
      </c>
      <c r="Y52" s="9">
        <v>0.81</v>
      </c>
      <c r="Z52" s="10">
        <v>1</v>
      </c>
      <c r="AA52" s="9">
        <v>2</v>
      </c>
    </row>
    <row r="53" spans="1:27" ht="15.75" customHeight="1" x14ac:dyDescent="0.25">
      <c r="A53" s="4">
        <v>2023</v>
      </c>
      <c r="B53" s="4" t="s">
        <v>27</v>
      </c>
      <c r="C53" s="9">
        <v>0.30941461679201671</v>
      </c>
      <c r="D53" s="12">
        <v>0.28631327782516514</v>
      </c>
      <c r="E53" s="9">
        <f t="shared" si="0"/>
        <v>2</v>
      </c>
      <c r="F53" s="12">
        <v>5.6207883332198977E-2</v>
      </c>
      <c r="G53" s="9">
        <v>4.3247329777967414E-2</v>
      </c>
      <c r="H53" s="12">
        <f t="shared" si="1"/>
        <v>2</v>
      </c>
      <c r="I53" s="9">
        <v>32.855456200777382</v>
      </c>
      <c r="J53" s="12">
        <v>116.15768585240973</v>
      </c>
      <c r="K53" s="9">
        <f t="shared" si="2"/>
        <v>1</v>
      </c>
      <c r="L53" s="12">
        <v>1.2435541348138348</v>
      </c>
      <c r="M53" s="9">
        <v>1.6987642500093172</v>
      </c>
      <c r="N53" s="12">
        <f t="shared" si="3"/>
        <v>1</v>
      </c>
      <c r="O53" s="9">
        <v>6.7224143312759397</v>
      </c>
      <c r="P53" s="12">
        <v>8.6574319388817162</v>
      </c>
      <c r="Q53" s="9">
        <f t="shared" si="4"/>
        <v>1</v>
      </c>
      <c r="R53" s="12">
        <v>0.1917653857691706</v>
      </c>
      <c r="S53" s="9">
        <v>0.20552097424643653</v>
      </c>
      <c r="T53" s="12">
        <f t="shared" si="5"/>
        <v>1</v>
      </c>
      <c r="U53" s="9">
        <v>0.43567467777073132</v>
      </c>
      <c r="V53" s="12">
        <v>0.4391953910741318</v>
      </c>
      <c r="W53" s="9">
        <f t="shared" si="6"/>
        <v>1</v>
      </c>
      <c r="X53" s="12">
        <v>0.79900000000000004</v>
      </c>
      <c r="Y53" s="9">
        <v>0.3</v>
      </c>
      <c r="Z53" s="12">
        <v>2</v>
      </c>
      <c r="AA53" s="9">
        <v>1</v>
      </c>
    </row>
    <row r="54" spans="1:27" ht="15.75" customHeight="1" x14ac:dyDescent="0.25">
      <c r="A54" s="6">
        <v>2023</v>
      </c>
      <c r="B54" s="6" t="s">
        <v>28</v>
      </c>
      <c r="C54" s="11">
        <v>0.29837347602489406</v>
      </c>
      <c r="D54" s="12">
        <v>0.32011157155175646</v>
      </c>
      <c r="E54" s="11">
        <f t="shared" si="0"/>
        <v>1</v>
      </c>
      <c r="F54" s="12">
        <v>0.10876275547416731</v>
      </c>
      <c r="G54" s="11">
        <v>0.10109954638240902</v>
      </c>
      <c r="H54" s="12">
        <f t="shared" si="1"/>
        <v>2</v>
      </c>
      <c r="I54" s="11">
        <v>62.122001848702972</v>
      </c>
      <c r="J54" s="12">
        <v>57.492367212390789</v>
      </c>
      <c r="K54" s="11">
        <f t="shared" si="2"/>
        <v>2</v>
      </c>
      <c r="L54" s="12">
        <v>1.1874859688397974</v>
      </c>
      <c r="M54" s="11">
        <v>1.0918519608611859</v>
      </c>
      <c r="N54" s="12">
        <f t="shared" si="3"/>
        <v>2</v>
      </c>
      <c r="O54" s="11">
        <v>4.3041624499476194</v>
      </c>
      <c r="P54" s="12">
        <v>6.7184086843592619</v>
      </c>
      <c r="Q54" s="11">
        <f t="shared" si="4"/>
        <v>1</v>
      </c>
      <c r="R54" s="12">
        <v>0.44000504043492439</v>
      </c>
      <c r="S54" s="11">
        <v>0.47408348836505082</v>
      </c>
      <c r="T54" s="12">
        <f t="shared" si="5"/>
        <v>1</v>
      </c>
      <c r="U54" s="11">
        <v>0.22416047622395724</v>
      </c>
      <c r="V54" s="12">
        <v>0.1753413175414249</v>
      </c>
      <c r="W54" s="11">
        <f t="shared" si="6"/>
        <v>2</v>
      </c>
      <c r="X54" s="12">
        <v>0.87019999999999997</v>
      </c>
      <c r="Y54" s="11">
        <v>0.92</v>
      </c>
      <c r="Z54" s="12">
        <v>3</v>
      </c>
      <c r="AA54" s="11">
        <v>2</v>
      </c>
    </row>
    <row r="55" spans="1:27" ht="15.75" customHeight="1" x14ac:dyDescent="0.25">
      <c r="A55" s="4">
        <v>2023</v>
      </c>
      <c r="B55" s="4" t="s">
        <v>29</v>
      </c>
      <c r="C55" s="9">
        <v>0.23802374385834868</v>
      </c>
      <c r="D55" s="12">
        <v>0.21133749246957659</v>
      </c>
      <c r="E55" s="9">
        <f t="shared" si="0"/>
        <v>2</v>
      </c>
      <c r="F55" s="12">
        <v>0.52676143990687097</v>
      </c>
      <c r="G55" s="9">
        <v>0.49127991342918875</v>
      </c>
      <c r="H55" s="12">
        <f t="shared" si="1"/>
        <v>2</v>
      </c>
      <c r="I55" s="9">
        <v>5.8534112642046034</v>
      </c>
      <c r="J55" s="12">
        <v>12.196802077877628</v>
      </c>
      <c r="K55" s="9">
        <f t="shared" si="2"/>
        <v>1</v>
      </c>
      <c r="L55" s="12">
        <v>1.0355025517605831</v>
      </c>
      <c r="M55" s="9">
        <v>1.1090541896940918</v>
      </c>
      <c r="N55" s="12">
        <f t="shared" si="3"/>
        <v>1</v>
      </c>
      <c r="O55" s="9">
        <v>8.1564533037396747E-2</v>
      </c>
      <c r="P55" s="12">
        <v>0.24513784811846734</v>
      </c>
      <c r="Q55" s="9">
        <f t="shared" si="4"/>
        <v>1</v>
      </c>
      <c r="R55" s="12">
        <v>0.35081986902058271</v>
      </c>
      <c r="S55" s="9">
        <v>0.34558242813214057</v>
      </c>
      <c r="T55" s="12">
        <f t="shared" si="5"/>
        <v>2</v>
      </c>
      <c r="U55" s="9">
        <v>0.20151622160282542</v>
      </c>
      <c r="V55" s="12">
        <v>0.25372740079689576</v>
      </c>
      <c r="W55" s="9">
        <f t="shared" si="6"/>
        <v>1</v>
      </c>
      <c r="X55" s="12">
        <v>0.78110000000000002</v>
      </c>
      <c r="Y55" s="9">
        <v>0.36</v>
      </c>
      <c r="Z55" s="12">
        <v>3</v>
      </c>
      <c r="AA55" s="9">
        <v>2</v>
      </c>
    </row>
    <row r="56" spans="1:27" ht="15.75" customHeight="1" x14ac:dyDescent="0.25">
      <c r="A56" s="6">
        <v>2024</v>
      </c>
      <c r="B56" s="6" t="s">
        <v>12</v>
      </c>
      <c r="C56" s="13">
        <v>0.25780204970179116</v>
      </c>
      <c r="D56" s="13">
        <v>0.28685641467403655</v>
      </c>
      <c r="E56" s="13">
        <f t="shared" si="0"/>
        <v>1</v>
      </c>
      <c r="F56" s="13">
        <v>0.10323189609313688</v>
      </c>
      <c r="G56" s="13">
        <v>0.10863065191814616</v>
      </c>
      <c r="H56" s="13">
        <f t="shared" si="1"/>
        <v>1</v>
      </c>
      <c r="I56" s="13">
        <v>15.566591219399623</v>
      </c>
      <c r="J56" s="13">
        <v>3.7993682475825894</v>
      </c>
      <c r="K56" s="13">
        <f t="shared" si="2"/>
        <v>2</v>
      </c>
      <c r="L56" s="13">
        <v>0.99909717419156885</v>
      </c>
      <c r="M56" s="13">
        <v>1.0321753004916354</v>
      </c>
      <c r="N56" s="13">
        <f t="shared" si="3"/>
        <v>1</v>
      </c>
      <c r="O56" s="13">
        <v>0.57314825415705073</v>
      </c>
      <c r="P56" s="13">
        <v>0.34882561278551422</v>
      </c>
      <c r="Q56" s="13">
        <f t="shared" si="4"/>
        <v>2</v>
      </c>
      <c r="R56" s="13">
        <v>0.45890902841610465</v>
      </c>
      <c r="S56" s="13">
        <v>0.4020092150194744</v>
      </c>
      <c r="T56" s="13">
        <f t="shared" si="5"/>
        <v>2</v>
      </c>
      <c r="U56" s="13">
        <v>0.16509014795396751</v>
      </c>
      <c r="V56" s="13">
        <v>0.18890887636379752</v>
      </c>
      <c r="W56" s="13">
        <f t="shared" si="6"/>
        <v>1</v>
      </c>
      <c r="X56" s="13">
        <v>0.80640000000000001</v>
      </c>
      <c r="Y56" s="13">
        <v>0.77</v>
      </c>
      <c r="Z56" s="13">
        <v>3</v>
      </c>
      <c r="AA56" s="13">
        <v>3</v>
      </c>
    </row>
    <row r="57" spans="1:27" ht="15.75" customHeight="1" x14ac:dyDescent="0.25">
      <c r="A57" s="6">
        <v>2024</v>
      </c>
      <c r="B57" s="6" t="s">
        <v>13</v>
      </c>
      <c r="C57" s="11">
        <v>0.29416383862182499</v>
      </c>
      <c r="D57" s="12">
        <v>0.3026769721055001</v>
      </c>
      <c r="E57" s="11">
        <f t="shared" si="0"/>
        <v>1</v>
      </c>
      <c r="F57" s="12">
        <v>4.403543677047999E-2</v>
      </c>
      <c r="G57" s="11">
        <v>4.4207297403024468E-2</v>
      </c>
      <c r="H57" s="12">
        <f t="shared" si="1"/>
        <v>1</v>
      </c>
      <c r="I57" s="11">
        <v>5.4774825348607475E-2</v>
      </c>
      <c r="J57" s="12">
        <v>1.2956176016346876</v>
      </c>
      <c r="K57" s="11">
        <f t="shared" si="2"/>
        <v>1</v>
      </c>
      <c r="L57" s="12">
        <v>1.1926377472508374</v>
      </c>
      <c r="M57" s="11">
        <v>1.169774511096829</v>
      </c>
      <c r="N57" s="12">
        <f t="shared" si="3"/>
        <v>2</v>
      </c>
      <c r="O57" s="11">
        <v>9.6598917084283649E-3</v>
      </c>
      <c r="P57" s="12">
        <v>1.6404987030348882E-2</v>
      </c>
      <c r="Q57" s="11">
        <f t="shared" si="4"/>
        <v>1</v>
      </c>
      <c r="R57" s="12">
        <v>0.30605759114872266</v>
      </c>
      <c r="S57" s="11">
        <v>0.33549379964798126</v>
      </c>
      <c r="T57" s="12">
        <f t="shared" si="5"/>
        <v>1</v>
      </c>
      <c r="U57" s="11">
        <v>0.31033501127537433</v>
      </c>
      <c r="V57" s="12">
        <v>0.28594259368002856</v>
      </c>
      <c r="W57" s="11">
        <f t="shared" si="6"/>
        <v>2</v>
      </c>
      <c r="X57" s="12">
        <v>0.87419999999999998</v>
      </c>
      <c r="Y57" s="11">
        <v>0.74</v>
      </c>
      <c r="Z57" s="12">
        <v>2</v>
      </c>
      <c r="AA57" s="11">
        <v>3</v>
      </c>
    </row>
    <row r="58" spans="1:27" ht="15.75" customHeight="1" x14ac:dyDescent="0.25">
      <c r="A58" s="4">
        <v>2024</v>
      </c>
      <c r="B58" s="4" t="s">
        <v>14</v>
      </c>
      <c r="C58" s="9">
        <v>0.20170416149883041</v>
      </c>
      <c r="D58" s="10">
        <v>0.20941851305896603</v>
      </c>
      <c r="E58" s="9">
        <f t="shared" si="0"/>
        <v>1</v>
      </c>
      <c r="F58" s="10">
        <v>6.0803384478496106E-2</v>
      </c>
      <c r="G58" s="9">
        <v>7.2170004085782974E-2</v>
      </c>
      <c r="H58" s="10">
        <f t="shared" si="1"/>
        <v>1</v>
      </c>
      <c r="I58" s="9">
        <v>79.888828019252188</v>
      </c>
      <c r="J58" s="10">
        <v>41.065384784451368</v>
      </c>
      <c r="K58" s="9">
        <f t="shared" si="2"/>
        <v>2</v>
      </c>
      <c r="L58" s="10">
        <v>1.6526751083345257</v>
      </c>
      <c r="M58" s="9">
        <v>1.4313004703013705</v>
      </c>
      <c r="N58" s="10">
        <f t="shared" si="3"/>
        <v>2</v>
      </c>
      <c r="O58" s="9">
        <v>21.330257863781938</v>
      </c>
      <c r="P58" s="10">
        <v>19.072017421768887</v>
      </c>
      <c r="Q58" s="9">
        <f t="shared" si="4"/>
        <v>2</v>
      </c>
      <c r="R58" s="10">
        <v>0.25617332014422967</v>
      </c>
      <c r="S58" s="9">
        <v>0.24313247545845479</v>
      </c>
      <c r="T58" s="10">
        <f t="shared" si="5"/>
        <v>2</v>
      </c>
      <c r="U58" s="9">
        <v>0.4171258511044883</v>
      </c>
      <c r="V58" s="10">
        <v>0.42597584115549636</v>
      </c>
      <c r="W58" s="9">
        <f t="shared" si="6"/>
        <v>1</v>
      </c>
      <c r="X58" s="10">
        <v>0.89280000000000004</v>
      </c>
      <c r="Y58" s="9">
        <v>0.43</v>
      </c>
      <c r="Z58" s="10">
        <v>3</v>
      </c>
      <c r="AA58" s="9">
        <v>2</v>
      </c>
    </row>
    <row r="59" spans="1:27" ht="15.75" customHeight="1" x14ac:dyDescent="0.25">
      <c r="A59" s="6">
        <v>2024</v>
      </c>
      <c r="B59" s="6" t="s">
        <v>15</v>
      </c>
      <c r="C59" s="11">
        <v>0.26574828505866027</v>
      </c>
      <c r="D59" s="12">
        <v>0.28915680399686472</v>
      </c>
      <c r="E59" s="11">
        <f t="shared" si="0"/>
        <v>1</v>
      </c>
      <c r="F59" s="12">
        <v>0.12010297673659487</v>
      </c>
      <c r="G59" s="11">
        <v>0.12632690518574788</v>
      </c>
      <c r="H59" s="12">
        <f t="shared" si="1"/>
        <v>1</v>
      </c>
      <c r="I59" s="11">
        <v>1.0023398028119235</v>
      </c>
      <c r="J59" s="12">
        <v>2.8448910713437594</v>
      </c>
      <c r="K59" s="11">
        <f t="shared" si="2"/>
        <v>1</v>
      </c>
      <c r="L59" s="12">
        <v>1.4045209821391569</v>
      </c>
      <c r="M59" s="11">
        <v>1.218011191809288</v>
      </c>
      <c r="N59" s="12">
        <f t="shared" si="3"/>
        <v>2</v>
      </c>
      <c r="O59" s="11">
        <v>1.5791272076527915E-2</v>
      </c>
      <c r="P59" s="12">
        <v>4.3679861748390537E-2</v>
      </c>
      <c r="Q59" s="11">
        <f t="shared" si="4"/>
        <v>1</v>
      </c>
      <c r="R59" s="12">
        <v>0.32826926288322184</v>
      </c>
      <c r="S59" s="11">
        <v>0.36825609349164623</v>
      </c>
      <c r="T59" s="12">
        <f t="shared" si="5"/>
        <v>1</v>
      </c>
      <c r="U59" s="11">
        <v>0.34264098031877799</v>
      </c>
      <c r="V59" s="12">
        <v>0.27810786054442022</v>
      </c>
      <c r="W59" s="11">
        <f t="shared" si="6"/>
        <v>2</v>
      </c>
      <c r="X59" s="12">
        <v>0.83709999999999996</v>
      </c>
      <c r="Y59" s="11">
        <v>0.77</v>
      </c>
      <c r="Z59" s="12">
        <v>2</v>
      </c>
      <c r="AA59" s="11">
        <v>2</v>
      </c>
    </row>
    <row r="60" spans="1:27" ht="15.75" customHeight="1" x14ac:dyDescent="0.25">
      <c r="A60" s="6">
        <v>2024</v>
      </c>
      <c r="B60" s="6" t="s">
        <v>16</v>
      </c>
      <c r="C60" s="11">
        <v>0.25455554909920958</v>
      </c>
      <c r="D60" s="12">
        <v>0.25619218723708681</v>
      </c>
      <c r="E60" s="11">
        <f t="shared" si="0"/>
        <v>1</v>
      </c>
      <c r="F60" s="12">
        <v>9.7707627983586134E-2</v>
      </c>
      <c r="G60" s="11">
        <v>0.11544065358125448</v>
      </c>
      <c r="H60" s="12">
        <f t="shared" si="1"/>
        <v>1</v>
      </c>
      <c r="I60" s="11">
        <v>60.611673314711538</v>
      </c>
      <c r="J60" s="12">
        <v>61.298526900268598</v>
      </c>
      <c r="K60" s="11">
        <f t="shared" si="2"/>
        <v>1</v>
      </c>
      <c r="L60" s="12">
        <v>1.3156490996148371</v>
      </c>
      <c r="M60" s="11">
        <v>1.2122846018984519</v>
      </c>
      <c r="N60" s="12">
        <f t="shared" si="3"/>
        <v>2</v>
      </c>
      <c r="O60" s="11">
        <v>20.838908564384329</v>
      </c>
      <c r="P60" s="12">
        <v>11.560820080890487</v>
      </c>
      <c r="Q60" s="11">
        <f t="shared" si="4"/>
        <v>2</v>
      </c>
      <c r="R60" s="12">
        <v>0.31063793423177943</v>
      </c>
      <c r="S60" s="11">
        <v>0.31082440382967003</v>
      </c>
      <c r="T60" s="12">
        <f t="shared" si="5"/>
        <v>1</v>
      </c>
      <c r="U60" s="11">
        <v>0.34404959656197887</v>
      </c>
      <c r="V60" s="12">
        <v>0.34986163763372485</v>
      </c>
      <c r="W60" s="11">
        <f t="shared" si="6"/>
        <v>1</v>
      </c>
      <c r="X60" s="12">
        <v>0.87729999999999997</v>
      </c>
      <c r="Y60" s="11">
        <v>0.72</v>
      </c>
      <c r="Z60" s="12">
        <v>3</v>
      </c>
      <c r="AA60" s="11">
        <v>3</v>
      </c>
    </row>
    <row r="61" spans="1:27" ht="15.75" customHeight="1" x14ac:dyDescent="0.25">
      <c r="A61" s="6">
        <v>2024</v>
      </c>
      <c r="B61" s="6" t="s">
        <v>17</v>
      </c>
      <c r="C61" s="12">
        <v>0.30595048284474041</v>
      </c>
      <c r="D61" s="12">
        <v>0.33255992040864607</v>
      </c>
      <c r="E61" s="12">
        <f t="shared" si="0"/>
        <v>1</v>
      </c>
      <c r="F61" s="12">
        <v>0.10475030615757358</v>
      </c>
      <c r="G61" s="12">
        <v>9.7024476362987416E-2</v>
      </c>
      <c r="H61" s="12">
        <f t="shared" si="1"/>
        <v>2</v>
      </c>
      <c r="I61" s="12">
        <v>4.7933256250153713</v>
      </c>
      <c r="J61" s="12">
        <v>12.04340910835459</v>
      </c>
      <c r="K61" s="12">
        <f t="shared" si="2"/>
        <v>1</v>
      </c>
      <c r="L61" s="12">
        <v>1.1112146361750559</v>
      </c>
      <c r="M61" s="12">
        <v>1.2090968519068972</v>
      </c>
      <c r="N61" s="12">
        <f t="shared" si="3"/>
        <v>1</v>
      </c>
      <c r="O61" s="12">
        <v>0.10413096897691076</v>
      </c>
      <c r="P61" s="12">
        <v>2.1238227074505205</v>
      </c>
      <c r="Q61" s="12">
        <f t="shared" si="4"/>
        <v>1</v>
      </c>
      <c r="R61" s="12">
        <v>0.36078102433750187</v>
      </c>
      <c r="S61" s="12">
        <v>0.33574555389956223</v>
      </c>
      <c r="T61" s="12">
        <f t="shared" si="5"/>
        <v>2</v>
      </c>
      <c r="U61" s="12">
        <v>0.24503839403620864</v>
      </c>
      <c r="V61" s="12">
        <v>0.24198842957902175</v>
      </c>
      <c r="W61" s="12">
        <f t="shared" si="6"/>
        <v>2</v>
      </c>
      <c r="X61" s="12">
        <v>0.88680000000000003</v>
      </c>
      <c r="Y61" s="12">
        <v>0.41</v>
      </c>
      <c r="Z61" s="12">
        <v>1</v>
      </c>
      <c r="AA61" s="12">
        <v>1</v>
      </c>
    </row>
    <row r="62" spans="1:27" ht="15.75" customHeight="1" x14ac:dyDescent="0.25">
      <c r="A62" s="6">
        <v>2024</v>
      </c>
      <c r="B62" s="6" t="s">
        <v>18</v>
      </c>
      <c r="C62" s="11">
        <v>0.25487242219294831</v>
      </c>
      <c r="D62" s="12">
        <v>0.25258847790669098</v>
      </c>
      <c r="E62" s="11">
        <f t="shared" si="0"/>
        <v>2</v>
      </c>
      <c r="F62" s="12">
        <v>6.0878479622675293E-2</v>
      </c>
      <c r="G62" s="11">
        <v>6.8689630561650922E-2</v>
      </c>
      <c r="H62" s="12">
        <f t="shared" si="1"/>
        <v>1</v>
      </c>
      <c r="I62" s="11">
        <v>7.2071855352758574</v>
      </c>
      <c r="J62" s="12">
        <v>9.3893186751478215</v>
      </c>
      <c r="K62" s="11">
        <f t="shared" si="2"/>
        <v>1</v>
      </c>
      <c r="L62" s="12">
        <v>1.167144253335942</v>
      </c>
      <c r="M62" s="11">
        <v>1.1662278799854935</v>
      </c>
      <c r="N62" s="12">
        <f t="shared" si="3"/>
        <v>2</v>
      </c>
      <c r="O62" s="11">
        <v>2.0102118218609317</v>
      </c>
      <c r="P62" s="12">
        <v>5.1473699089058407</v>
      </c>
      <c r="Q62" s="11">
        <f t="shared" si="4"/>
        <v>1</v>
      </c>
      <c r="R62" s="12">
        <v>0.3859427835419787</v>
      </c>
      <c r="S62" s="11">
        <v>0.38175763820037312</v>
      </c>
      <c r="T62" s="12">
        <f t="shared" si="5"/>
        <v>2</v>
      </c>
      <c r="U62" s="11">
        <v>0.28870764553945594</v>
      </c>
      <c r="V62" s="12">
        <v>0.29406209763344943</v>
      </c>
      <c r="W62" s="11">
        <f t="shared" si="6"/>
        <v>1</v>
      </c>
      <c r="X62" s="12">
        <v>0.90939999999999999</v>
      </c>
      <c r="Y62" s="11">
        <v>0.96</v>
      </c>
      <c r="Z62" s="12">
        <v>2</v>
      </c>
      <c r="AA62" s="11">
        <v>2</v>
      </c>
    </row>
    <row r="63" spans="1:27" ht="15.75" customHeight="1" x14ac:dyDescent="0.25">
      <c r="A63" s="6">
        <v>2024</v>
      </c>
      <c r="B63" s="6" t="s">
        <v>19</v>
      </c>
      <c r="C63" s="11">
        <v>0.2185008721170357</v>
      </c>
      <c r="D63" s="12">
        <v>0.21986406226997537</v>
      </c>
      <c r="E63" s="11">
        <f t="shared" si="0"/>
        <v>1</v>
      </c>
      <c r="F63" s="12">
        <v>6.9871446625817707E-2</v>
      </c>
      <c r="G63" s="11">
        <v>4.935442675480288E-2</v>
      </c>
      <c r="H63" s="12">
        <f t="shared" si="1"/>
        <v>2</v>
      </c>
      <c r="I63" s="11">
        <v>8.3823842812066651</v>
      </c>
      <c r="J63" s="12">
        <v>11.750035535348996</v>
      </c>
      <c r="K63" s="11">
        <f t="shared" si="2"/>
        <v>1</v>
      </c>
      <c r="L63" s="12">
        <v>1.7121972660641718</v>
      </c>
      <c r="M63" s="11">
        <v>1.4427403397682639</v>
      </c>
      <c r="N63" s="12">
        <f t="shared" si="3"/>
        <v>2</v>
      </c>
      <c r="O63" s="11">
        <v>0.47952828553680854</v>
      </c>
      <c r="P63" s="12">
        <v>0.42999085984965019</v>
      </c>
      <c r="Q63" s="11">
        <f t="shared" si="4"/>
        <v>2</v>
      </c>
      <c r="R63" s="12">
        <v>0.18788594709234277</v>
      </c>
      <c r="S63" s="11">
        <v>0.20225944056455988</v>
      </c>
      <c r="T63" s="12">
        <f t="shared" si="5"/>
        <v>1</v>
      </c>
      <c r="U63" s="11">
        <v>0.5306278584687627</v>
      </c>
      <c r="V63" s="12">
        <v>0.51869056954294313</v>
      </c>
      <c r="W63" s="11">
        <f t="shared" si="6"/>
        <v>2</v>
      </c>
      <c r="X63" s="12">
        <v>0.74590000000000001</v>
      </c>
      <c r="Y63" s="11">
        <v>0.21</v>
      </c>
      <c r="Z63" s="12">
        <v>2</v>
      </c>
      <c r="AA63" s="11">
        <v>3</v>
      </c>
    </row>
    <row r="64" spans="1:27" ht="15.75" customHeight="1" x14ac:dyDescent="0.25">
      <c r="A64" s="4">
        <v>2024</v>
      </c>
      <c r="B64" s="4" t="s">
        <v>20</v>
      </c>
      <c r="C64" s="9">
        <v>0.2573871302434329</v>
      </c>
      <c r="D64" s="10">
        <v>0.26990261467855359</v>
      </c>
      <c r="E64" s="9">
        <f t="shared" si="0"/>
        <v>1</v>
      </c>
      <c r="F64" s="10">
        <v>7.5149778765268752E-2</v>
      </c>
      <c r="G64" s="9">
        <v>8.0800713325578449E-2</v>
      </c>
      <c r="H64" s="10">
        <f t="shared" si="1"/>
        <v>1</v>
      </c>
      <c r="I64" s="9">
        <v>6.7047798312798337</v>
      </c>
      <c r="J64" s="10">
        <v>9.9224928781056718</v>
      </c>
      <c r="K64" s="9">
        <f t="shared" si="2"/>
        <v>1</v>
      </c>
      <c r="L64" s="10">
        <v>1.0765765635845361</v>
      </c>
      <c r="M64" s="9">
        <v>1.0015813026440221</v>
      </c>
      <c r="N64" s="10">
        <f t="shared" si="3"/>
        <v>2</v>
      </c>
      <c r="O64" s="9">
        <v>0.45119400443412161</v>
      </c>
      <c r="P64" s="10">
        <v>0.575449302323505</v>
      </c>
      <c r="Q64" s="9">
        <f t="shared" si="4"/>
        <v>1</v>
      </c>
      <c r="R64" s="10">
        <v>0.40126305584137695</v>
      </c>
      <c r="S64" s="9">
        <v>0.34494140641613358</v>
      </c>
      <c r="T64" s="10">
        <f t="shared" si="5"/>
        <v>2</v>
      </c>
      <c r="U64" s="9">
        <v>0.24379930516532736</v>
      </c>
      <c r="V64" s="10">
        <v>0.29670905950903415</v>
      </c>
      <c r="W64" s="9">
        <f t="shared" si="6"/>
        <v>1</v>
      </c>
      <c r="X64" s="10">
        <v>0.82389999999999997</v>
      </c>
      <c r="Y64" s="9">
        <v>0.65</v>
      </c>
      <c r="Z64" s="10">
        <v>2</v>
      </c>
      <c r="AA64" s="9">
        <v>2</v>
      </c>
    </row>
    <row r="65" spans="1:27" ht="15.75" customHeight="1" x14ac:dyDescent="0.25">
      <c r="A65" s="4">
        <v>2024</v>
      </c>
      <c r="B65" s="4" t="s">
        <v>21</v>
      </c>
      <c r="C65" s="9">
        <v>0.30810020610878358</v>
      </c>
      <c r="D65" s="10">
        <v>0.29568817321084728</v>
      </c>
      <c r="E65" s="9">
        <f t="shared" si="0"/>
        <v>2</v>
      </c>
      <c r="F65" s="10">
        <v>0.10031175382689649</v>
      </c>
      <c r="G65" s="9">
        <v>8.2571938579086263E-2</v>
      </c>
      <c r="H65" s="10">
        <f t="shared" si="1"/>
        <v>2</v>
      </c>
      <c r="I65" s="9">
        <v>5.4795328546743258</v>
      </c>
      <c r="J65" s="10">
        <v>5.8687387131126032</v>
      </c>
      <c r="K65" s="9">
        <f t="shared" si="2"/>
        <v>1</v>
      </c>
      <c r="L65" s="10">
        <v>1.0460536635039197</v>
      </c>
      <c r="M65" s="9">
        <v>1.0112842361490038</v>
      </c>
      <c r="N65" s="10">
        <f t="shared" si="3"/>
        <v>2</v>
      </c>
      <c r="O65" s="9">
        <v>0.10300088159713811</v>
      </c>
      <c r="P65" s="10">
        <v>0.10865998018179049</v>
      </c>
      <c r="Q65" s="9">
        <f t="shared" si="4"/>
        <v>1</v>
      </c>
      <c r="R65" s="10">
        <v>0.39693324090229704</v>
      </c>
      <c r="S65" s="9">
        <v>0.38436663477121563</v>
      </c>
      <c r="T65" s="10">
        <f t="shared" si="5"/>
        <v>2</v>
      </c>
      <c r="U65" s="9">
        <v>0.20278086063366663</v>
      </c>
      <c r="V65" s="10">
        <v>0.22837436258582952</v>
      </c>
      <c r="W65" s="9">
        <f t="shared" si="6"/>
        <v>1</v>
      </c>
      <c r="X65" s="10">
        <v>0.88160000000000005</v>
      </c>
      <c r="Y65" s="9">
        <v>0.32</v>
      </c>
      <c r="Z65" s="10">
        <v>2</v>
      </c>
      <c r="AA65" s="9">
        <v>2</v>
      </c>
    </row>
    <row r="66" spans="1:27" ht="15.75" customHeight="1" x14ac:dyDescent="0.25">
      <c r="A66" s="4">
        <v>2024</v>
      </c>
      <c r="B66" s="4" t="s">
        <v>22</v>
      </c>
      <c r="C66" s="9">
        <v>0.23826638833514388</v>
      </c>
      <c r="D66" s="10">
        <v>0.25614866186861007</v>
      </c>
      <c r="E66" s="9">
        <f t="shared" si="0"/>
        <v>1</v>
      </c>
      <c r="F66" s="10">
        <v>8.5158339612776801E-2</v>
      </c>
      <c r="G66" s="9">
        <v>9.5773546645350996E-2</v>
      </c>
      <c r="H66" s="10">
        <f t="shared" si="1"/>
        <v>1</v>
      </c>
      <c r="I66" s="9">
        <v>18.297733027372438</v>
      </c>
      <c r="J66" s="10">
        <v>14.997809894266444</v>
      </c>
      <c r="K66" s="9">
        <f t="shared" si="2"/>
        <v>2</v>
      </c>
      <c r="L66" s="10">
        <v>1.1010743543797834</v>
      </c>
      <c r="M66" s="9">
        <v>1.0938227846553037</v>
      </c>
      <c r="N66" s="10">
        <f t="shared" si="3"/>
        <v>2</v>
      </c>
      <c r="O66" s="9">
        <v>1.387593237633173</v>
      </c>
      <c r="P66" s="10">
        <v>0.84283741057296391</v>
      </c>
      <c r="Q66" s="9">
        <f t="shared" si="4"/>
        <v>2</v>
      </c>
      <c r="R66" s="10">
        <v>0.41845184830347176</v>
      </c>
      <c r="S66" s="9">
        <v>0.40052902803138285</v>
      </c>
      <c r="T66" s="10">
        <f t="shared" si="5"/>
        <v>2</v>
      </c>
      <c r="U66" s="9">
        <v>0.21767619596976165</v>
      </c>
      <c r="V66" s="10">
        <v>0.19913449306293579</v>
      </c>
      <c r="W66" s="9">
        <f t="shared" si="6"/>
        <v>2</v>
      </c>
      <c r="X66" s="10">
        <v>0.88260000000000005</v>
      </c>
      <c r="Y66" s="9">
        <v>0.27</v>
      </c>
      <c r="Z66" s="10">
        <v>3</v>
      </c>
      <c r="AA66" s="9">
        <v>2</v>
      </c>
    </row>
    <row r="67" spans="1:27" ht="15.75" customHeight="1" x14ac:dyDescent="0.25">
      <c r="A67" s="6">
        <v>2024</v>
      </c>
      <c r="B67" s="6" t="s">
        <v>23</v>
      </c>
      <c r="C67" s="11">
        <v>0.21971578217077137</v>
      </c>
      <c r="D67" s="12">
        <v>0.22844728553580215</v>
      </c>
      <c r="E67" s="11">
        <f t="shared" ref="E67:E91" si="7">IF((C67&gt;D67),2,1)</f>
        <v>1</v>
      </c>
      <c r="F67" s="12">
        <v>3.6070251855835608E-2</v>
      </c>
      <c r="G67" s="11">
        <v>5.1608203074176982E-2</v>
      </c>
      <c r="H67" s="12">
        <f t="shared" ref="H67:H91" si="8">IF((F67&gt;G67),2,1)</f>
        <v>1</v>
      </c>
      <c r="I67" s="11">
        <v>1.1222671175396681</v>
      </c>
      <c r="J67" s="12">
        <v>0.85097054089509327</v>
      </c>
      <c r="K67" s="11">
        <f t="shared" ref="K67:K91" si="9">IF((I67&gt;J67),2,1)</f>
        <v>2</v>
      </c>
      <c r="L67" s="12">
        <v>1.0407120510504844</v>
      </c>
      <c r="M67" s="11">
        <v>1.0427430609376982</v>
      </c>
      <c r="N67" s="12">
        <f t="shared" ref="N67:N91" si="10">IF((L67&gt;M67),2,1)</f>
        <v>1</v>
      </c>
      <c r="O67" s="11">
        <v>2.5078593297199494E-2</v>
      </c>
      <c r="P67" s="12">
        <v>2.2783334998421161E-2</v>
      </c>
      <c r="Q67" s="11">
        <f t="shared" ref="Q67:Q91" si="11">IF((O67&gt;P67),2,1)</f>
        <v>2</v>
      </c>
      <c r="R67" s="12">
        <v>0.45430978263920513</v>
      </c>
      <c r="S67" s="11">
        <v>0.40412107109129691</v>
      </c>
      <c r="T67" s="12">
        <f t="shared" ref="T67:T91" si="12">IF((R67&gt;S67),2,1)</f>
        <v>2</v>
      </c>
      <c r="U67" s="11">
        <v>0.21269036510307646</v>
      </c>
      <c r="V67" s="12">
        <v>0.2685975593392223</v>
      </c>
      <c r="W67" s="11">
        <f t="shared" ref="W67:W91" si="13">IF((U67&gt;V67),2,1)</f>
        <v>1</v>
      </c>
      <c r="X67" s="12">
        <v>0.87970000000000004</v>
      </c>
      <c r="Y67" s="11">
        <v>1</v>
      </c>
      <c r="Z67" s="12">
        <v>2</v>
      </c>
      <c r="AA67" s="11">
        <v>2</v>
      </c>
    </row>
    <row r="68" spans="1:27" ht="15.75" customHeight="1" x14ac:dyDescent="0.25">
      <c r="A68" s="4">
        <v>2024</v>
      </c>
      <c r="B68" s="4" t="s">
        <v>24</v>
      </c>
      <c r="C68" s="9">
        <v>0.28744075098022265</v>
      </c>
      <c r="D68" s="10">
        <v>0.2656805237528671</v>
      </c>
      <c r="E68" s="9">
        <f t="shared" si="7"/>
        <v>2</v>
      </c>
      <c r="F68" s="10">
        <v>6.0809536432112912E-2</v>
      </c>
      <c r="G68" s="9">
        <v>6.2610467776761658E-2</v>
      </c>
      <c r="H68" s="10">
        <f t="shared" si="8"/>
        <v>1</v>
      </c>
      <c r="I68" s="9">
        <v>1.8352816978990316</v>
      </c>
      <c r="J68" s="10">
        <v>2.0822710983112613</v>
      </c>
      <c r="K68" s="9">
        <f t="shared" si="9"/>
        <v>1</v>
      </c>
      <c r="L68" s="10">
        <v>1.0788947112913481</v>
      </c>
      <c r="M68" s="9">
        <v>1.0354113636375544</v>
      </c>
      <c r="N68" s="10">
        <f t="shared" si="10"/>
        <v>2</v>
      </c>
      <c r="O68" s="9">
        <v>0.20627032737821907</v>
      </c>
      <c r="P68" s="10">
        <v>4.3430491189208241E-2</v>
      </c>
      <c r="Q68" s="9">
        <f t="shared" si="11"/>
        <v>2</v>
      </c>
      <c r="R68" s="10">
        <v>0.37192107118000534</v>
      </c>
      <c r="S68" s="9">
        <v>0.38900669965029883</v>
      </c>
      <c r="T68" s="10">
        <f t="shared" si="12"/>
        <v>1</v>
      </c>
      <c r="U68" s="9">
        <v>0.23907870558879057</v>
      </c>
      <c r="V68" s="10">
        <v>0.25937584447962198</v>
      </c>
      <c r="W68" s="9">
        <f t="shared" si="13"/>
        <v>1</v>
      </c>
      <c r="X68" s="10">
        <v>0.83109999999999995</v>
      </c>
      <c r="Y68" s="9">
        <v>0.39</v>
      </c>
      <c r="Z68" s="10">
        <v>3</v>
      </c>
      <c r="AA68" s="9">
        <v>3</v>
      </c>
    </row>
    <row r="69" spans="1:27" ht="15.75" customHeight="1" x14ac:dyDescent="0.25">
      <c r="A69" s="4">
        <v>2024</v>
      </c>
      <c r="B69" s="4" t="s">
        <v>25</v>
      </c>
      <c r="C69" s="9">
        <v>0.35687427623719675</v>
      </c>
      <c r="D69" s="10">
        <v>0.3267855001112297</v>
      </c>
      <c r="E69" s="9">
        <f t="shared" si="7"/>
        <v>2</v>
      </c>
      <c r="F69" s="10">
        <v>0.10206121884578119</v>
      </c>
      <c r="G69" s="9">
        <v>8.6286091473582974E-2</v>
      </c>
      <c r="H69" s="10">
        <f t="shared" si="8"/>
        <v>2</v>
      </c>
      <c r="I69" s="9">
        <v>38.768513194473165</v>
      </c>
      <c r="J69" s="10">
        <v>48.965366516794624</v>
      </c>
      <c r="K69" s="9">
        <f t="shared" si="9"/>
        <v>1</v>
      </c>
      <c r="L69" s="10">
        <v>1.2227060345072778</v>
      </c>
      <c r="M69" s="9">
        <v>1.2488178251265232</v>
      </c>
      <c r="N69" s="10">
        <f t="shared" si="10"/>
        <v>1</v>
      </c>
      <c r="O69" s="9">
        <v>7.1581859053999626</v>
      </c>
      <c r="P69" s="10">
        <v>7.3524436271887605</v>
      </c>
      <c r="Q69" s="9">
        <f t="shared" si="11"/>
        <v>1</v>
      </c>
      <c r="R69" s="10">
        <v>0.33557131441442645</v>
      </c>
      <c r="S69" s="9">
        <v>0.31505878561739153</v>
      </c>
      <c r="T69" s="10">
        <f t="shared" si="12"/>
        <v>2</v>
      </c>
      <c r="U69" s="9">
        <v>0.26533118957149837</v>
      </c>
      <c r="V69" s="10">
        <v>0.33404510374273089</v>
      </c>
      <c r="W69" s="9">
        <f t="shared" si="13"/>
        <v>1</v>
      </c>
      <c r="X69" s="10">
        <v>0.84950000000000003</v>
      </c>
      <c r="Y69" s="9">
        <v>0.73</v>
      </c>
      <c r="Z69" s="10">
        <v>2</v>
      </c>
      <c r="AA69" s="9">
        <v>3</v>
      </c>
    </row>
    <row r="70" spans="1:27" ht="15.75" customHeight="1" x14ac:dyDescent="0.25">
      <c r="A70" s="4">
        <v>2024</v>
      </c>
      <c r="B70" s="4" t="s">
        <v>26</v>
      </c>
      <c r="C70" s="9">
        <v>0.30273209207946339</v>
      </c>
      <c r="D70" s="10">
        <v>0.3138210984744052</v>
      </c>
      <c r="E70" s="9">
        <f t="shared" si="7"/>
        <v>1</v>
      </c>
      <c r="F70" s="10">
        <v>0.34471135289026689</v>
      </c>
      <c r="G70" s="9">
        <v>0.34393653721470485</v>
      </c>
      <c r="H70" s="10">
        <f t="shared" si="8"/>
        <v>2</v>
      </c>
      <c r="I70" s="9">
        <v>9.1118124191251582</v>
      </c>
      <c r="J70" s="10">
        <v>36.900464856121438</v>
      </c>
      <c r="K70" s="9">
        <f t="shared" si="9"/>
        <v>1</v>
      </c>
      <c r="L70" s="10">
        <v>1.1387488260610286</v>
      </c>
      <c r="M70" s="9">
        <v>1.30971417432982</v>
      </c>
      <c r="N70" s="10">
        <f t="shared" si="10"/>
        <v>1</v>
      </c>
      <c r="O70" s="9">
        <v>0.77345753259241956</v>
      </c>
      <c r="P70" s="10">
        <v>2.0047756300010158</v>
      </c>
      <c r="Q70" s="9">
        <f t="shared" si="11"/>
        <v>1</v>
      </c>
      <c r="R70" s="10">
        <v>0.3856404089227421</v>
      </c>
      <c r="S70" s="9">
        <v>0.37555459464216778</v>
      </c>
      <c r="T70" s="10">
        <f t="shared" si="12"/>
        <v>2</v>
      </c>
      <c r="U70" s="9">
        <v>0.27103514652455801</v>
      </c>
      <c r="V70" s="10">
        <v>0.27260538245967114</v>
      </c>
      <c r="W70" s="9">
        <f t="shared" si="13"/>
        <v>1</v>
      </c>
      <c r="X70" s="10">
        <v>0.85470000000000002</v>
      </c>
      <c r="Y70" s="9">
        <v>0.95</v>
      </c>
      <c r="Z70" s="10">
        <v>2</v>
      </c>
      <c r="AA70" s="9">
        <v>3</v>
      </c>
    </row>
    <row r="71" spans="1:27" ht="15.75" customHeight="1" x14ac:dyDescent="0.25">
      <c r="A71" s="4">
        <v>2024</v>
      </c>
      <c r="B71" s="4" t="s">
        <v>27</v>
      </c>
      <c r="C71" s="9">
        <v>0.36942700902999448</v>
      </c>
      <c r="D71" s="10">
        <v>0.30941461679201671</v>
      </c>
      <c r="E71" s="9">
        <f t="shared" si="7"/>
        <v>2</v>
      </c>
      <c r="F71" s="10">
        <v>3.5331307445576367E-2</v>
      </c>
      <c r="G71" s="9">
        <v>5.6207883332198977E-2</v>
      </c>
      <c r="H71" s="10">
        <f t="shared" si="8"/>
        <v>1</v>
      </c>
      <c r="I71" s="9">
        <v>24.703994919838664</v>
      </c>
      <c r="J71" s="10">
        <v>32.855456200777382</v>
      </c>
      <c r="K71" s="9">
        <f t="shared" si="9"/>
        <v>1</v>
      </c>
      <c r="L71" s="10">
        <v>1.2624633503549074</v>
      </c>
      <c r="M71" s="9">
        <v>1.2435541348138348</v>
      </c>
      <c r="N71" s="10">
        <f t="shared" si="10"/>
        <v>2</v>
      </c>
      <c r="O71" s="9">
        <v>8.274239835489773</v>
      </c>
      <c r="P71" s="10">
        <v>6.7224143312759397</v>
      </c>
      <c r="Q71" s="9">
        <f t="shared" si="11"/>
        <v>2</v>
      </c>
      <c r="R71" s="10">
        <v>0.24293586854357208</v>
      </c>
      <c r="S71" s="9">
        <v>0.1917653857691706</v>
      </c>
      <c r="T71" s="10">
        <f t="shared" si="12"/>
        <v>2</v>
      </c>
      <c r="U71" s="9">
        <v>0.31207578357164595</v>
      </c>
      <c r="V71" s="10">
        <v>0.43567467777073132</v>
      </c>
      <c r="W71" s="9">
        <f t="shared" si="13"/>
        <v>1</v>
      </c>
      <c r="X71" s="10">
        <v>0.751</v>
      </c>
      <c r="Y71" s="9">
        <v>0.3</v>
      </c>
      <c r="Z71" s="10">
        <v>1</v>
      </c>
      <c r="AA71" s="9">
        <v>1</v>
      </c>
    </row>
    <row r="72" spans="1:27" ht="15.75" customHeight="1" x14ac:dyDescent="0.25">
      <c r="A72" s="6">
        <v>2024</v>
      </c>
      <c r="B72" s="6" t="s">
        <v>28</v>
      </c>
      <c r="C72" s="11">
        <v>0.26351572698116027</v>
      </c>
      <c r="D72" s="12">
        <v>0.29837347602489406</v>
      </c>
      <c r="E72" s="11">
        <f t="shared" si="7"/>
        <v>1</v>
      </c>
      <c r="F72" s="12">
        <v>0.10914972458729694</v>
      </c>
      <c r="G72" s="11">
        <v>0.10876275547416731</v>
      </c>
      <c r="H72" s="12">
        <f t="shared" si="8"/>
        <v>2</v>
      </c>
      <c r="I72" s="11">
        <v>57.676981613005992</v>
      </c>
      <c r="J72" s="12">
        <v>62.122001848702972</v>
      </c>
      <c r="K72" s="11">
        <f t="shared" si="9"/>
        <v>1</v>
      </c>
      <c r="L72" s="12">
        <v>1.1696429138953108</v>
      </c>
      <c r="M72" s="11">
        <v>1.1874859688397974</v>
      </c>
      <c r="N72" s="12">
        <f t="shared" si="10"/>
        <v>1</v>
      </c>
      <c r="O72" s="11">
        <v>4.1929235848526814</v>
      </c>
      <c r="P72" s="12">
        <v>4.3041624499476194</v>
      </c>
      <c r="Q72" s="11">
        <f t="shared" si="11"/>
        <v>1</v>
      </c>
      <c r="R72" s="12">
        <v>0.47211094830234662</v>
      </c>
      <c r="S72" s="11">
        <v>0.44000504043492439</v>
      </c>
      <c r="T72" s="12">
        <f t="shared" si="12"/>
        <v>2</v>
      </c>
      <c r="U72" s="11">
        <v>0.21818133248459365</v>
      </c>
      <c r="V72" s="12">
        <v>0.22416047622395724</v>
      </c>
      <c r="W72" s="11">
        <f t="shared" si="13"/>
        <v>1</v>
      </c>
      <c r="X72" s="12">
        <v>0.86209999999999998</v>
      </c>
      <c r="Y72" s="11">
        <v>0.92</v>
      </c>
      <c r="Z72" s="12">
        <v>2</v>
      </c>
      <c r="AA72" s="11">
        <v>3</v>
      </c>
    </row>
    <row r="73" spans="1:27" ht="15.75" customHeight="1" x14ac:dyDescent="0.25">
      <c r="A73" s="4">
        <v>2024</v>
      </c>
      <c r="B73" s="4" t="s">
        <v>29</v>
      </c>
      <c r="C73" s="9">
        <v>0.20219377956360551</v>
      </c>
      <c r="D73" s="10">
        <v>0.23802374385834868</v>
      </c>
      <c r="E73" s="9">
        <f t="shared" si="7"/>
        <v>1</v>
      </c>
      <c r="F73" s="10">
        <v>0.48448777763768963</v>
      </c>
      <c r="G73" s="9">
        <v>0.52676143990687097</v>
      </c>
      <c r="H73" s="10">
        <f t="shared" si="8"/>
        <v>1</v>
      </c>
      <c r="I73" s="9">
        <v>3.6302719700276187</v>
      </c>
      <c r="J73" s="10">
        <v>5.8534112642046034</v>
      </c>
      <c r="K73" s="9">
        <f t="shared" si="9"/>
        <v>1</v>
      </c>
      <c r="L73" s="10">
        <v>1.0177313338576166</v>
      </c>
      <c r="M73" s="9">
        <v>1.0355025517605831</v>
      </c>
      <c r="N73" s="10">
        <f t="shared" si="10"/>
        <v>1</v>
      </c>
      <c r="O73" s="9">
        <v>8.3913433648385355E-2</v>
      </c>
      <c r="P73" s="10">
        <v>8.1564533037396747E-2</v>
      </c>
      <c r="Q73" s="9">
        <f t="shared" si="11"/>
        <v>2</v>
      </c>
      <c r="R73" s="10">
        <v>0.38254212251451636</v>
      </c>
      <c r="S73" s="9">
        <v>0.35081986902058271</v>
      </c>
      <c r="T73" s="10">
        <f t="shared" si="12"/>
        <v>2</v>
      </c>
      <c r="U73" s="9">
        <v>0.19707627146273071</v>
      </c>
      <c r="V73" s="10">
        <v>0.20151622160282542</v>
      </c>
      <c r="W73" s="9">
        <f t="shared" si="13"/>
        <v>1</v>
      </c>
      <c r="X73" s="10">
        <v>0.75929999999999997</v>
      </c>
      <c r="Y73" s="9">
        <v>0.41</v>
      </c>
      <c r="Z73" s="10">
        <v>2</v>
      </c>
      <c r="AA73" s="9">
        <v>2</v>
      </c>
    </row>
    <row r="74" spans="1:27" ht="15.75" customHeight="1" x14ac:dyDescent="0.25">
      <c r="A74" s="6">
        <v>2025</v>
      </c>
      <c r="B74" s="6" t="s">
        <v>12</v>
      </c>
      <c r="C74" s="12">
        <v>0.23181037815503158</v>
      </c>
      <c r="D74" s="13">
        <v>0.25780204970179116</v>
      </c>
      <c r="E74" s="12">
        <f t="shared" si="7"/>
        <v>1</v>
      </c>
      <c r="F74" s="13">
        <v>0.12984550114888491</v>
      </c>
      <c r="G74" s="12">
        <v>0.10323189609313688</v>
      </c>
      <c r="H74" s="13">
        <f t="shared" si="8"/>
        <v>2</v>
      </c>
      <c r="I74" s="12">
        <v>24.760100079064639</v>
      </c>
      <c r="J74" s="13">
        <v>15.566591219399623</v>
      </c>
      <c r="K74" s="12">
        <f t="shared" si="9"/>
        <v>2</v>
      </c>
      <c r="L74" s="13">
        <v>1.0037953453003303</v>
      </c>
      <c r="M74" s="12">
        <v>0.99909717419156885</v>
      </c>
      <c r="N74" s="13">
        <f t="shared" si="10"/>
        <v>2</v>
      </c>
      <c r="O74" s="12">
        <v>1.1982410367253173</v>
      </c>
      <c r="P74" s="13">
        <v>0.57314825415705073</v>
      </c>
      <c r="Q74" s="12">
        <f t="shared" si="11"/>
        <v>2</v>
      </c>
      <c r="R74" s="13">
        <v>0.53133297494027021</v>
      </c>
      <c r="S74" s="12">
        <v>0.45890902841610465</v>
      </c>
      <c r="T74" s="13">
        <f t="shared" si="12"/>
        <v>2</v>
      </c>
      <c r="U74" s="12">
        <v>0.16182959400003982</v>
      </c>
      <c r="V74" s="13">
        <v>0.16509014795396751</v>
      </c>
      <c r="W74" s="12">
        <f t="shared" si="13"/>
        <v>1</v>
      </c>
      <c r="X74" s="13">
        <v>0.79259999999999997</v>
      </c>
      <c r="Y74" s="12">
        <v>0.77</v>
      </c>
      <c r="Z74" s="13">
        <v>3</v>
      </c>
      <c r="AA74" s="12" t="s">
        <v>30</v>
      </c>
    </row>
    <row r="75" spans="1:27" ht="15.75" customHeight="1" x14ac:dyDescent="0.25">
      <c r="A75" s="6">
        <v>2025</v>
      </c>
      <c r="B75" s="6" t="s">
        <v>13</v>
      </c>
      <c r="C75" s="11">
        <v>0.2963344060444309</v>
      </c>
      <c r="D75" s="12">
        <v>0.29416383862182499</v>
      </c>
      <c r="E75" s="11">
        <f t="shared" si="7"/>
        <v>2</v>
      </c>
      <c r="F75" s="12">
        <v>5.5377844137768223E-2</v>
      </c>
      <c r="G75" s="11">
        <v>4.403543677047999E-2</v>
      </c>
      <c r="H75" s="12">
        <f t="shared" si="8"/>
        <v>2</v>
      </c>
      <c r="I75" s="11">
        <v>0.67215424137841839</v>
      </c>
      <c r="J75" s="12">
        <v>5.4774825348607475E-2</v>
      </c>
      <c r="K75" s="11">
        <f t="shared" si="9"/>
        <v>2</v>
      </c>
      <c r="L75" s="12">
        <v>1.0712396660178838</v>
      </c>
      <c r="M75" s="11">
        <v>1.1926377472508374</v>
      </c>
      <c r="N75" s="12">
        <f t="shared" si="10"/>
        <v>1</v>
      </c>
      <c r="O75" s="11">
        <v>2.5268042285049384E-2</v>
      </c>
      <c r="P75" s="12">
        <v>9.6598917084283649E-3</v>
      </c>
      <c r="Q75" s="11">
        <f t="shared" si="11"/>
        <v>2</v>
      </c>
      <c r="R75" s="12">
        <v>0.391114490152072</v>
      </c>
      <c r="S75" s="11">
        <v>0.30605759114872266</v>
      </c>
      <c r="T75" s="12">
        <f t="shared" si="12"/>
        <v>2</v>
      </c>
      <c r="U75" s="11">
        <v>0.21273600709246868</v>
      </c>
      <c r="V75" s="12">
        <v>0.31033501127537433</v>
      </c>
      <c r="W75" s="11">
        <f t="shared" si="13"/>
        <v>1</v>
      </c>
      <c r="X75" s="12">
        <v>0.85540000000000005</v>
      </c>
      <c r="Y75" s="11">
        <v>0.83</v>
      </c>
      <c r="Z75" s="12">
        <v>3</v>
      </c>
      <c r="AA75" s="11" t="s">
        <v>30</v>
      </c>
    </row>
    <row r="76" spans="1:27" ht="15.75" customHeight="1" x14ac:dyDescent="0.25">
      <c r="A76" s="4">
        <v>2025</v>
      </c>
      <c r="B76" s="4" t="s">
        <v>14</v>
      </c>
      <c r="C76" s="9">
        <v>0.21211795173971465</v>
      </c>
      <c r="D76" s="10">
        <v>0.20170416149883041</v>
      </c>
      <c r="E76" s="9">
        <f t="shared" si="7"/>
        <v>2</v>
      </c>
      <c r="F76" s="10">
        <v>9.4133761019870768E-2</v>
      </c>
      <c r="G76" s="9">
        <v>6.0803384478496106E-2</v>
      </c>
      <c r="H76" s="10">
        <f t="shared" si="8"/>
        <v>2</v>
      </c>
      <c r="I76" s="9">
        <v>76.277149460180297</v>
      </c>
      <c r="J76" s="10">
        <v>79.888828019252188</v>
      </c>
      <c r="K76" s="9">
        <f t="shared" si="9"/>
        <v>1</v>
      </c>
      <c r="L76" s="10">
        <v>1.2795819614040715</v>
      </c>
      <c r="M76" s="9">
        <v>1.6526751083345257</v>
      </c>
      <c r="N76" s="10">
        <f t="shared" si="10"/>
        <v>1</v>
      </c>
      <c r="O76" s="9">
        <v>26.340055516122163</v>
      </c>
      <c r="P76" s="10">
        <v>21.330257863781938</v>
      </c>
      <c r="Q76" s="9">
        <f t="shared" si="11"/>
        <v>2</v>
      </c>
      <c r="R76" s="10">
        <v>0.32753378670371619</v>
      </c>
      <c r="S76" s="9">
        <v>0.25617332014422967</v>
      </c>
      <c r="T76" s="10">
        <f t="shared" si="12"/>
        <v>2</v>
      </c>
      <c r="U76" s="9">
        <v>0.35190127044807917</v>
      </c>
      <c r="V76" s="10">
        <v>0.4171258511044883</v>
      </c>
      <c r="W76" s="9">
        <f t="shared" si="13"/>
        <v>1</v>
      </c>
      <c r="X76" s="10">
        <v>0.90429999999999999</v>
      </c>
      <c r="Y76" s="9">
        <v>0.43</v>
      </c>
      <c r="Z76" s="10">
        <v>2</v>
      </c>
      <c r="AA76" s="9" t="s">
        <v>30</v>
      </c>
    </row>
    <row r="77" spans="1:27" ht="15.75" customHeight="1" x14ac:dyDescent="0.25">
      <c r="A77" s="6">
        <v>2025</v>
      </c>
      <c r="B77" s="6" t="s">
        <v>15</v>
      </c>
      <c r="C77" s="11">
        <v>0.28964002203494993</v>
      </c>
      <c r="D77" s="12">
        <v>0.26574828505866027</v>
      </c>
      <c r="E77" s="11">
        <f t="shared" si="7"/>
        <v>2</v>
      </c>
      <c r="F77" s="12">
        <v>0.14013435571374461</v>
      </c>
      <c r="G77" s="11">
        <v>0.12010297673659487</v>
      </c>
      <c r="H77" s="12">
        <f t="shared" si="8"/>
        <v>2</v>
      </c>
      <c r="I77" s="11">
        <v>5.9775351602426454</v>
      </c>
      <c r="J77" s="12">
        <v>1.0023398028119235</v>
      </c>
      <c r="K77" s="11">
        <f t="shared" si="9"/>
        <v>2</v>
      </c>
      <c r="L77" s="12">
        <v>1.3442560600614897</v>
      </c>
      <c r="M77" s="11">
        <v>1.4045209821391569</v>
      </c>
      <c r="N77" s="12">
        <f t="shared" si="10"/>
        <v>1</v>
      </c>
      <c r="O77" s="11">
        <v>7.2338480467803251E-2</v>
      </c>
      <c r="P77" s="12">
        <v>1.5791272076527915E-2</v>
      </c>
      <c r="Q77" s="11">
        <f t="shared" si="11"/>
        <v>2</v>
      </c>
      <c r="R77" s="12">
        <v>0.36384881743066716</v>
      </c>
      <c r="S77" s="11">
        <v>0.32826926288322184</v>
      </c>
      <c r="T77" s="12">
        <f t="shared" si="12"/>
        <v>2</v>
      </c>
      <c r="U77" s="11">
        <v>0.31633902954091603</v>
      </c>
      <c r="V77" s="12">
        <v>0.34264098031877799</v>
      </c>
      <c r="W77" s="11">
        <f t="shared" si="13"/>
        <v>1</v>
      </c>
      <c r="X77" s="12">
        <v>0.80149999999999999</v>
      </c>
      <c r="Y77" s="11">
        <v>0.85</v>
      </c>
      <c r="Z77" s="12">
        <v>2</v>
      </c>
      <c r="AA77" s="11" t="s">
        <v>30</v>
      </c>
    </row>
    <row r="78" spans="1:27" ht="15.75" customHeight="1" x14ac:dyDescent="0.25">
      <c r="A78" s="6">
        <v>2025</v>
      </c>
      <c r="B78" s="6" t="s">
        <v>16</v>
      </c>
      <c r="C78" s="11">
        <v>0.24485771122083091</v>
      </c>
      <c r="D78" s="12">
        <v>0.25455554909920958</v>
      </c>
      <c r="E78" s="11">
        <f t="shared" si="7"/>
        <v>1</v>
      </c>
      <c r="F78" s="12">
        <v>0.11358885651977932</v>
      </c>
      <c r="G78" s="11">
        <v>9.7707627983586134E-2</v>
      </c>
      <c r="H78" s="12">
        <f t="shared" si="8"/>
        <v>2</v>
      </c>
      <c r="I78" s="11">
        <v>26.320111299330954</v>
      </c>
      <c r="J78" s="12">
        <v>60.611673314711538</v>
      </c>
      <c r="K78" s="11">
        <f t="shared" si="9"/>
        <v>1</v>
      </c>
      <c r="L78" s="12">
        <v>1.2520222545959416</v>
      </c>
      <c r="M78" s="11">
        <v>1.3156490996148371</v>
      </c>
      <c r="N78" s="12">
        <f t="shared" si="10"/>
        <v>1</v>
      </c>
      <c r="O78" s="11">
        <v>7.3339323671787406</v>
      </c>
      <c r="P78" s="12">
        <v>20.838908564384329</v>
      </c>
      <c r="Q78" s="11">
        <f t="shared" si="11"/>
        <v>1</v>
      </c>
      <c r="R78" s="12">
        <v>0.32999669198819881</v>
      </c>
      <c r="S78" s="11">
        <v>0.31063793423177943</v>
      </c>
      <c r="T78" s="12">
        <f t="shared" si="12"/>
        <v>2</v>
      </c>
      <c r="U78" s="11">
        <v>0.36635468794580961</v>
      </c>
      <c r="V78" s="12">
        <v>0.34404959656197887</v>
      </c>
      <c r="W78" s="11">
        <f t="shared" si="13"/>
        <v>2</v>
      </c>
      <c r="X78" s="12">
        <v>0.8841</v>
      </c>
      <c r="Y78" s="11">
        <v>0.72</v>
      </c>
      <c r="Z78" s="12">
        <v>3</v>
      </c>
      <c r="AA78" s="11" t="s">
        <v>30</v>
      </c>
    </row>
    <row r="79" spans="1:27" ht="15.75" customHeight="1" x14ac:dyDescent="0.25">
      <c r="A79" s="6">
        <v>2025</v>
      </c>
      <c r="B79" s="6" t="s">
        <v>17</v>
      </c>
      <c r="C79" s="12">
        <v>0.21566156414777504</v>
      </c>
      <c r="D79" s="12">
        <v>0.30595048284474041</v>
      </c>
      <c r="E79" s="12">
        <f t="shared" si="7"/>
        <v>1</v>
      </c>
      <c r="F79" s="12">
        <v>0.14161493654639259</v>
      </c>
      <c r="G79" s="12">
        <v>0.10475030615757358</v>
      </c>
      <c r="H79" s="12">
        <f t="shared" si="8"/>
        <v>2</v>
      </c>
      <c r="I79" s="12">
        <v>11.338228160930656</v>
      </c>
      <c r="J79" s="12">
        <v>4.7933256250153713</v>
      </c>
      <c r="K79" s="12">
        <f t="shared" si="9"/>
        <v>2</v>
      </c>
      <c r="L79" s="12">
        <v>1.1528421763245436</v>
      </c>
      <c r="M79" s="12">
        <v>1.1112146361750559</v>
      </c>
      <c r="N79" s="12">
        <f t="shared" si="10"/>
        <v>2</v>
      </c>
      <c r="O79" s="12">
        <v>1.3430700188639697</v>
      </c>
      <c r="P79" s="12">
        <v>0.10413096897691076</v>
      </c>
      <c r="Q79" s="12">
        <f t="shared" si="11"/>
        <v>2</v>
      </c>
      <c r="R79" s="12">
        <v>0.43655159485623413</v>
      </c>
      <c r="S79" s="12">
        <v>0.36078102433750187</v>
      </c>
      <c r="T79" s="12">
        <f t="shared" si="12"/>
        <v>2</v>
      </c>
      <c r="U79" s="12">
        <v>0.22225047195733705</v>
      </c>
      <c r="V79" s="12">
        <v>0.24503839403620864</v>
      </c>
      <c r="W79" s="12">
        <f t="shared" si="13"/>
        <v>1</v>
      </c>
      <c r="X79" s="12">
        <v>0.87190000000000001</v>
      </c>
      <c r="Y79" s="12">
        <v>0.42</v>
      </c>
      <c r="Z79" s="12">
        <v>1</v>
      </c>
      <c r="AA79" s="12" t="s">
        <v>30</v>
      </c>
    </row>
    <row r="80" spans="1:27" ht="15.75" customHeight="1" x14ac:dyDescent="0.25">
      <c r="A80" s="6">
        <v>2025</v>
      </c>
      <c r="B80" s="6" t="s">
        <v>18</v>
      </c>
      <c r="C80" s="11">
        <v>0.26709087077137961</v>
      </c>
      <c r="D80" s="12">
        <v>0.25487242219294831</v>
      </c>
      <c r="E80" s="11">
        <f t="shared" si="7"/>
        <v>2</v>
      </c>
      <c r="F80" s="12">
        <v>8.7228793995311235E-2</v>
      </c>
      <c r="G80" s="11">
        <v>6.0878479622675293E-2</v>
      </c>
      <c r="H80" s="12">
        <f t="shared" si="8"/>
        <v>2</v>
      </c>
      <c r="I80" s="11">
        <v>20.626366413182129</v>
      </c>
      <c r="J80" s="12">
        <v>7.2071855352758574</v>
      </c>
      <c r="K80" s="11">
        <f t="shared" si="9"/>
        <v>2</v>
      </c>
      <c r="L80" s="12">
        <v>1.2089500560119701</v>
      </c>
      <c r="M80" s="11">
        <v>1.167144253335942</v>
      </c>
      <c r="N80" s="12">
        <f t="shared" si="10"/>
        <v>2</v>
      </c>
      <c r="O80" s="11">
        <v>0.75398614441192136</v>
      </c>
      <c r="P80" s="12">
        <v>2.0102118218609317</v>
      </c>
      <c r="Q80" s="11">
        <f t="shared" si="11"/>
        <v>1</v>
      </c>
      <c r="R80" s="12">
        <v>0.40302877600221343</v>
      </c>
      <c r="S80" s="11">
        <v>0.3859427835419787</v>
      </c>
      <c r="T80" s="12">
        <f t="shared" si="12"/>
        <v>2</v>
      </c>
      <c r="U80" s="11">
        <v>0.27367573339725554</v>
      </c>
      <c r="V80" s="12">
        <v>0.28870764553945594</v>
      </c>
      <c r="W80" s="11">
        <f t="shared" si="13"/>
        <v>1</v>
      </c>
      <c r="X80" s="12">
        <v>0.88749999999999996</v>
      </c>
      <c r="Y80" s="11">
        <v>0.99</v>
      </c>
      <c r="Z80" s="12">
        <v>2</v>
      </c>
      <c r="AA80" s="11" t="s">
        <v>30</v>
      </c>
    </row>
    <row r="81" spans="1:27" ht="15.75" customHeight="1" x14ac:dyDescent="0.25">
      <c r="A81" s="6">
        <v>2025</v>
      </c>
      <c r="B81" s="6" t="s">
        <v>19</v>
      </c>
      <c r="C81" s="11">
        <v>0.26272788386322982</v>
      </c>
      <c r="D81" s="12">
        <v>0.2185008721170357</v>
      </c>
      <c r="E81" s="11">
        <f t="shared" si="7"/>
        <v>2</v>
      </c>
      <c r="F81" s="12">
        <v>7.8618376089326841E-2</v>
      </c>
      <c r="G81" s="11">
        <v>6.9871446625817707E-2</v>
      </c>
      <c r="H81" s="12">
        <f t="shared" si="8"/>
        <v>2</v>
      </c>
      <c r="I81" s="11">
        <v>13.503479666406385</v>
      </c>
      <c r="J81" s="12">
        <v>8.3823842812066651</v>
      </c>
      <c r="K81" s="11">
        <f t="shared" si="9"/>
        <v>2</v>
      </c>
      <c r="L81" s="12">
        <v>1.4770137638261382</v>
      </c>
      <c r="M81" s="11">
        <v>1.7121972660641718</v>
      </c>
      <c r="N81" s="12">
        <f t="shared" si="10"/>
        <v>1</v>
      </c>
      <c r="O81" s="11">
        <v>1.4508365316136789</v>
      </c>
      <c r="P81" s="12">
        <v>0.47952828553680854</v>
      </c>
      <c r="Q81" s="11">
        <f t="shared" si="11"/>
        <v>2</v>
      </c>
      <c r="R81" s="12">
        <v>0.26101169441459132</v>
      </c>
      <c r="S81" s="11">
        <v>0.18788594709234277</v>
      </c>
      <c r="T81" s="12">
        <f t="shared" si="12"/>
        <v>2</v>
      </c>
      <c r="U81" s="11">
        <v>0.42141536658738049</v>
      </c>
      <c r="V81" s="12">
        <v>0.5306278584687627</v>
      </c>
      <c r="W81" s="11">
        <f t="shared" si="13"/>
        <v>1</v>
      </c>
      <c r="X81" s="12">
        <v>0.75429999999999997</v>
      </c>
      <c r="Y81" s="11">
        <v>0.2</v>
      </c>
      <c r="Z81" s="12">
        <v>3</v>
      </c>
      <c r="AA81" s="11" t="s">
        <v>30</v>
      </c>
    </row>
    <row r="82" spans="1:27" ht="15.75" customHeight="1" x14ac:dyDescent="0.25">
      <c r="A82" s="4">
        <v>2025</v>
      </c>
      <c r="B82" s="4" t="s">
        <v>20</v>
      </c>
      <c r="C82" s="9">
        <v>0.27251170983205697</v>
      </c>
      <c r="D82" s="10">
        <v>0.2573871302434329</v>
      </c>
      <c r="E82" s="9">
        <f t="shared" si="7"/>
        <v>2</v>
      </c>
      <c r="F82" s="10">
        <v>9.9021136541459429E-2</v>
      </c>
      <c r="G82" s="9">
        <v>7.5149778765268752E-2</v>
      </c>
      <c r="H82" s="10">
        <f t="shared" si="8"/>
        <v>2</v>
      </c>
      <c r="I82" s="9">
        <v>9.8935704647109404</v>
      </c>
      <c r="J82" s="10">
        <v>6.7047798312798337</v>
      </c>
      <c r="K82" s="9">
        <f t="shared" si="9"/>
        <v>2</v>
      </c>
      <c r="L82" s="10">
        <v>1.0382824322566022</v>
      </c>
      <c r="M82" s="9">
        <v>1.0765765635845361</v>
      </c>
      <c r="N82" s="10">
        <f t="shared" si="10"/>
        <v>1</v>
      </c>
      <c r="O82" s="9">
        <v>0.631974242749751</v>
      </c>
      <c r="P82" s="10">
        <v>0.45119400443412161</v>
      </c>
      <c r="Q82" s="9">
        <f t="shared" si="11"/>
        <v>2</v>
      </c>
      <c r="R82" s="10">
        <v>0.46040377057333026</v>
      </c>
      <c r="S82" s="9">
        <v>0.40126305584137695</v>
      </c>
      <c r="T82" s="10">
        <f t="shared" si="12"/>
        <v>2</v>
      </c>
      <c r="U82" s="9">
        <v>0.20219446887600329</v>
      </c>
      <c r="V82" s="10">
        <v>0.24379930516532736</v>
      </c>
      <c r="W82" s="9">
        <f t="shared" si="13"/>
        <v>1</v>
      </c>
      <c r="X82" s="10">
        <v>0.81869999999999998</v>
      </c>
      <c r="Y82" s="9">
        <v>0.63</v>
      </c>
      <c r="Z82" s="10">
        <v>2</v>
      </c>
      <c r="AA82" s="9" t="s">
        <v>30</v>
      </c>
    </row>
    <row r="83" spans="1:27" ht="15.75" customHeight="1" x14ac:dyDescent="0.25">
      <c r="A83" s="4">
        <v>2025</v>
      </c>
      <c r="B83" s="4" t="s">
        <v>21</v>
      </c>
      <c r="C83" s="9">
        <v>0.26360756631752086</v>
      </c>
      <c r="D83" s="10">
        <v>0.30810020610878358</v>
      </c>
      <c r="E83" s="9">
        <f t="shared" si="7"/>
        <v>1</v>
      </c>
      <c r="F83" s="10">
        <v>0.11192343837683945</v>
      </c>
      <c r="G83" s="9">
        <v>0.10031175382689649</v>
      </c>
      <c r="H83" s="10">
        <f t="shared" si="8"/>
        <v>2</v>
      </c>
      <c r="I83" s="9">
        <v>9.1607856661973948</v>
      </c>
      <c r="J83" s="10">
        <v>5.4795328546743258</v>
      </c>
      <c r="K83" s="9">
        <f t="shared" si="9"/>
        <v>2</v>
      </c>
      <c r="L83" s="10">
        <v>1.035803105281722</v>
      </c>
      <c r="M83" s="9">
        <v>1.0460536635039197</v>
      </c>
      <c r="N83" s="10">
        <f t="shared" si="10"/>
        <v>1</v>
      </c>
      <c r="O83" s="9">
        <v>0.11852055037274523</v>
      </c>
      <c r="P83" s="10">
        <v>0.10300088159713811</v>
      </c>
      <c r="Q83" s="9">
        <f t="shared" si="11"/>
        <v>2</v>
      </c>
      <c r="R83" s="10">
        <v>0.47489169727722336</v>
      </c>
      <c r="S83" s="9">
        <v>0.39693324090229704</v>
      </c>
      <c r="T83" s="10">
        <f t="shared" si="12"/>
        <v>2</v>
      </c>
      <c r="U83" s="9">
        <v>0.197118084510195</v>
      </c>
      <c r="V83" s="10">
        <v>0.20278086063366663</v>
      </c>
      <c r="W83" s="9">
        <f t="shared" si="13"/>
        <v>1</v>
      </c>
      <c r="X83" s="10">
        <v>0.86899999999999999</v>
      </c>
      <c r="Y83" s="9">
        <v>0.32</v>
      </c>
      <c r="Z83" s="10">
        <v>2</v>
      </c>
      <c r="AA83" s="9" t="s">
        <v>30</v>
      </c>
    </row>
    <row r="84" spans="1:27" ht="15.75" customHeight="1" x14ac:dyDescent="0.25">
      <c r="A84" s="4">
        <v>2025</v>
      </c>
      <c r="B84" s="4" t="s">
        <v>22</v>
      </c>
      <c r="C84" s="9">
        <v>0.26161075212840185</v>
      </c>
      <c r="D84" s="10">
        <v>0.23826638833514388</v>
      </c>
      <c r="E84" s="9">
        <f t="shared" si="7"/>
        <v>2</v>
      </c>
      <c r="F84" s="10">
        <v>0.10751592527790932</v>
      </c>
      <c r="G84" s="9">
        <v>8.5158339612776801E-2</v>
      </c>
      <c r="H84" s="10">
        <f t="shared" si="8"/>
        <v>2</v>
      </c>
      <c r="I84" s="9">
        <v>51.752284556461781</v>
      </c>
      <c r="J84" s="10">
        <v>18.297733027372438</v>
      </c>
      <c r="K84" s="9">
        <f t="shared" si="9"/>
        <v>2</v>
      </c>
      <c r="L84" s="10">
        <v>1.0674527876420217</v>
      </c>
      <c r="M84" s="9">
        <v>1.1010743543797834</v>
      </c>
      <c r="N84" s="10">
        <f t="shared" si="10"/>
        <v>1</v>
      </c>
      <c r="O84" s="9">
        <v>2.5044334826478409</v>
      </c>
      <c r="P84" s="10">
        <v>1.387593237633173</v>
      </c>
      <c r="Q84" s="9">
        <f t="shared" si="11"/>
        <v>2</v>
      </c>
      <c r="R84" s="10">
        <v>0.54256042339638277</v>
      </c>
      <c r="S84" s="9">
        <v>0.41845184830347176</v>
      </c>
      <c r="T84" s="10">
        <f t="shared" si="12"/>
        <v>2</v>
      </c>
      <c r="U84" s="9">
        <v>0.11654314882930168</v>
      </c>
      <c r="V84" s="10">
        <v>0.21767619596976165</v>
      </c>
      <c r="W84" s="9">
        <f t="shared" si="13"/>
        <v>1</v>
      </c>
      <c r="X84" s="10">
        <v>0.86580000000000001</v>
      </c>
      <c r="Y84" s="9">
        <v>0.28999999999999998</v>
      </c>
      <c r="Z84" s="10">
        <v>2</v>
      </c>
      <c r="AA84" s="9" t="s">
        <v>30</v>
      </c>
    </row>
    <row r="85" spans="1:27" ht="15.75" customHeight="1" x14ac:dyDescent="0.25">
      <c r="A85" s="6">
        <v>2025</v>
      </c>
      <c r="B85" s="6" t="s">
        <v>23</v>
      </c>
      <c r="C85" s="11">
        <v>0.24801683811480196</v>
      </c>
      <c r="D85" s="12">
        <v>0.21971578217077137</v>
      </c>
      <c r="E85" s="11">
        <f t="shared" si="7"/>
        <v>2</v>
      </c>
      <c r="F85" s="12">
        <v>4.9839255808003018E-2</v>
      </c>
      <c r="G85" s="11">
        <v>3.6070251855835608E-2</v>
      </c>
      <c r="H85" s="12">
        <f t="shared" si="8"/>
        <v>2</v>
      </c>
      <c r="I85" s="11">
        <v>10.469466629971796</v>
      </c>
      <c r="J85" s="12">
        <v>1.1222671175396681</v>
      </c>
      <c r="K85" s="11">
        <f t="shared" si="9"/>
        <v>2</v>
      </c>
      <c r="L85" s="12">
        <v>1.076223731951369</v>
      </c>
      <c r="M85" s="11">
        <v>1.0407120510504844</v>
      </c>
      <c r="N85" s="12">
        <f t="shared" si="10"/>
        <v>2</v>
      </c>
      <c r="O85" s="11">
        <v>0.36545598413145658</v>
      </c>
      <c r="P85" s="12">
        <v>2.5078593297199494E-2</v>
      </c>
      <c r="Q85" s="11">
        <f t="shared" si="11"/>
        <v>2</v>
      </c>
      <c r="R85" s="12">
        <v>0.48920019358263572</v>
      </c>
      <c r="S85" s="11">
        <v>0.45430978263920513</v>
      </c>
      <c r="T85" s="12">
        <f t="shared" si="12"/>
        <v>2</v>
      </c>
      <c r="U85" s="11">
        <v>0.19162717828387782</v>
      </c>
      <c r="V85" s="12">
        <v>0.21269036510307646</v>
      </c>
      <c r="W85" s="11">
        <f t="shared" si="13"/>
        <v>1</v>
      </c>
      <c r="X85" s="12">
        <v>0.85309999999999997</v>
      </c>
      <c r="Y85" s="11">
        <v>1</v>
      </c>
      <c r="Z85" s="12">
        <v>2</v>
      </c>
      <c r="AA85" s="11" t="s">
        <v>30</v>
      </c>
    </row>
    <row r="86" spans="1:27" ht="15.75" customHeight="1" x14ac:dyDescent="0.25">
      <c r="A86" s="4">
        <v>2025</v>
      </c>
      <c r="B86" s="4" t="s">
        <v>24</v>
      </c>
      <c r="C86" s="9">
        <v>0.30119679609991123</v>
      </c>
      <c r="D86" s="10">
        <v>0.28744075098022265</v>
      </c>
      <c r="E86" s="9">
        <f t="shared" si="7"/>
        <v>2</v>
      </c>
      <c r="F86" s="10">
        <v>7.8208908105034072E-2</v>
      </c>
      <c r="G86" s="9">
        <v>6.0809536432112912E-2</v>
      </c>
      <c r="H86" s="10">
        <f t="shared" si="8"/>
        <v>2</v>
      </c>
      <c r="I86" s="9">
        <v>0.74149215251237111</v>
      </c>
      <c r="J86" s="10">
        <v>1.8352816978990316</v>
      </c>
      <c r="K86" s="9">
        <f t="shared" si="9"/>
        <v>1</v>
      </c>
      <c r="L86" s="10">
        <v>0.97095520958315462</v>
      </c>
      <c r="M86" s="9">
        <v>1.0788947112913481</v>
      </c>
      <c r="N86" s="10">
        <f t="shared" si="10"/>
        <v>1</v>
      </c>
      <c r="O86" s="9">
        <v>3.7716693826331874E-2</v>
      </c>
      <c r="P86" s="10">
        <v>0.20627032737821907</v>
      </c>
      <c r="Q86" s="9">
        <f t="shared" si="11"/>
        <v>1</v>
      </c>
      <c r="R86" s="10">
        <v>0.44472539202559302</v>
      </c>
      <c r="S86" s="9">
        <v>0.37192107118000534</v>
      </c>
      <c r="T86" s="10">
        <f t="shared" si="12"/>
        <v>2</v>
      </c>
      <c r="U86" s="9">
        <v>0.16969882076234705</v>
      </c>
      <c r="V86" s="10">
        <v>0.23907870558879057</v>
      </c>
      <c r="W86" s="9">
        <f t="shared" si="13"/>
        <v>1</v>
      </c>
      <c r="X86" s="10">
        <v>0.83989999999999998</v>
      </c>
      <c r="Y86" s="9">
        <v>0.39</v>
      </c>
      <c r="Z86" s="10">
        <v>3</v>
      </c>
      <c r="AA86" s="9" t="s">
        <v>30</v>
      </c>
    </row>
    <row r="87" spans="1:27" ht="15.75" customHeight="1" x14ac:dyDescent="0.25">
      <c r="A87" s="4">
        <v>2025</v>
      </c>
      <c r="B87" s="4" t="s">
        <v>25</v>
      </c>
      <c r="C87" s="9">
        <v>0.34512232500882922</v>
      </c>
      <c r="D87" s="10">
        <v>0.35687427623719675</v>
      </c>
      <c r="E87" s="9">
        <f t="shared" si="7"/>
        <v>1</v>
      </c>
      <c r="F87" s="10">
        <v>0.1068602543828054</v>
      </c>
      <c r="G87" s="9">
        <v>0.10206121884578119</v>
      </c>
      <c r="H87" s="10">
        <f t="shared" si="8"/>
        <v>2</v>
      </c>
      <c r="I87" s="9">
        <v>40.877253358706724</v>
      </c>
      <c r="J87" s="10">
        <v>38.768513194473165</v>
      </c>
      <c r="K87" s="9">
        <f t="shared" si="9"/>
        <v>2</v>
      </c>
      <c r="L87" s="10">
        <v>1.2673376226632969</v>
      </c>
      <c r="M87" s="9">
        <v>1.2227060345072778</v>
      </c>
      <c r="N87" s="10">
        <f t="shared" si="10"/>
        <v>2</v>
      </c>
      <c r="O87" s="9">
        <v>2.8449567602255836</v>
      </c>
      <c r="P87" s="10">
        <v>7.1581859053999626</v>
      </c>
      <c r="Q87" s="9">
        <f t="shared" si="11"/>
        <v>1</v>
      </c>
      <c r="R87" s="10">
        <v>0.36821572389775364</v>
      </c>
      <c r="S87" s="9">
        <v>0.33557131441442645</v>
      </c>
      <c r="T87" s="10">
        <f t="shared" si="12"/>
        <v>2</v>
      </c>
      <c r="U87" s="9">
        <v>0.27052066241108558</v>
      </c>
      <c r="V87" s="10">
        <v>0.26533118957149837</v>
      </c>
      <c r="W87" s="9">
        <f t="shared" si="13"/>
        <v>2</v>
      </c>
      <c r="X87" s="10">
        <v>0.86329999999999996</v>
      </c>
      <c r="Y87" s="9">
        <v>7.0000000000000007E-2</v>
      </c>
      <c r="Z87" s="10">
        <v>3</v>
      </c>
      <c r="AA87" s="9" t="s">
        <v>30</v>
      </c>
    </row>
    <row r="88" spans="1:27" ht="15.75" customHeight="1" x14ac:dyDescent="0.25">
      <c r="A88" s="4">
        <v>2025</v>
      </c>
      <c r="B88" s="4" t="s">
        <v>26</v>
      </c>
      <c r="C88" s="9">
        <v>0.30588355005753587</v>
      </c>
      <c r="D88" s="10">
        <v>0.30273209207946339</v>
      </c>
      <c r="E88" s="9">
        <f t="shared" si="7"/>
        <v>2</v>
      </c>
      <c r="F88" s="10">
        <v>0.38083558988674171</v>
      </c>
      <c r="G88" s="9">
        <v>0.34471135289026689</v>
      </c>
      <c r="H88" s="10">
        <f t="shared" si="8"/>
        <v>2</v>
      </c>
      <c r="I88" s="9">
        <v>7.5440820755689888</v>
      </c>
      <c r="J88" s="10">
        <v>9.1118124191251582</v>
      </c>
      <c r="K88" s="9">
        <f t="shared" si="9"/>
        <v>1</v>
      </c>
      <c r="L88" s="10">
        <v>1.1942942731304746</v>
      </c>
      <c r="M88" s="9">
        <v>1.1387488260610286</v>
      </c>
      <c r="N88" s="10">
        <f t="shared" si="10"/>
        <v>2</v>
      </c>
      <c r="O88" s="9">
        <v>0.63191679651192889</v>
      </c>
      <c r="P88" s="10">
        <v>0.77345753259241956</v>
      </c>
      <c r="Q88" s="9">
        <f t="shared" si="11"/>
        <v>1</v>
      </c>
      <c r="R88" s="10">
        <v>0.4101705376735324</v>
      </c>
      <c r="S88" s="9">
        <v>0.3856404089227421</v>
      </c>
      <c r="T88" s="10">
        <f t="shared" si="12"/>
        <v>2</v>
      </c>
      <c r="U88" s="9">
        <v>0.25992566606024714</v>
      </c>
      <c r="V88" s="10">
        <v>0.27103514652455801</v>
      </c>
      <c r="W88" s="9">
        <f t="shared" si="13"/>
        <v>1</v>
      </c>
      <c r="X88" s="10">
        <v>0.82330000000000003</v>
      </c>
      <c r="Y88" s="9">
        <v>0.95</v>
      </c>
      <c r="Z88" s="10">
        <v>3</v>
      </c>
      <c r="AA88" s="9" t="s">
        <v>30</v>
      </c>
    </row>
    <row r="89" spans="1:27" ht="15.75" customHeight="1" x14ac:dyDescent="0.25">
      <c r="A89" s="4">
        <v>2025</v>
      </c>
      <c r="B89" s="4" t="s">
        <v>27</v>
      </c>
      <c r="C89" s="9">
        <v>0.36076060175242958</v>
      </c>
      <c r="D89" s="10">
        <v>0.36942700902999448</v>
      </c>
      <c r="E89" s="9">
        <f t="shared" si="7"/>
        <v>1</v>
      </c>
      <c r="F89" s="10">
        <v>5.6668368629659474E-2</v>
      </c>
      <c r="G89" s="9">
        <v>3.5331307445576367E-2</v>
      </c>
      <c r="H89" s="10">
        <f t="shared" si="8"/>
        <v>2</v>
      </c>
      <c r="I89" s="9">
        <v>33.594850256746717</v>
      </c>
      <c r="J89" s="10">
        <v>24.703994919838664</v>
      </c>
      <c r="K89" s="9">
        <f t="shared" si="9"/>
        <v>2</v>
      </c>
      <c r="L89" s="10">
        <v>1.2181143770191163</v>
      </c>
      <c r="M89" s="9">
        <v>1.2624633503549074</v>
      </c>
      <c r="N89" s="10">
        <f t="shared" si="10"/>
        <v>1</v>
      </c>
      <c r="O89" s="9">
        <v>2.3780421954970956</v>
      </c>
      <c r="P89" s="10">
        <v>8.274239835489773</v>
      </c>
      <c r="Q89" s="9">
        <f t="shared" si="11"/>
        <v>1</v>
      </c>
      <c r="R89" s="10">
        <v>0.31953522791400785</v>
      </c>
      <c r="S89" s="9">
        <v>0.24293586854357208</v>
      </c>
      <c r="T89" s="10">
        <f t="shared" si="12"/>
        <v>2</v>
      </c>
      <c r="U89" s="9">
        <v>0.2489651452559401</v>
      </c>
      <c r="V89" s="10">
        <v>0.31207578357164595</v>
      </c>
      <c r="W89" s="9">
        <f t="shared" si="13"/>
        <v>1</v>
      </c>
      <c r="X89" s="10">
        <v>0.7258</v>
      </c>
      <c r="Y89" s="9">
        <v>0.21</v>
      </c>
      <c r="Z89" s="10">
        <v>1</v>
      </c>
      <c r="AA89" s="9" t="s">
        <v>30</v>
      </c>
    </row>
    <row r="90" spans="1:27" ht="15.75" customHeight="1" x14ac:dyDescent="0.25">
      <c r="A90" s="6">
        <v>2025</v>
      </c>
      <c r="B90" s="6" t="s">
        <v>28</v>
      </c>
      <c r="C90" s="11">
        <v>0.30278820077059593</v>
      </c>
      <c r="D90" s="12">
        <v>0.26351572698116027</v>
      </c>
      <c r="E90" s="11">
        <f t="shared" si="7"/>
        <v>2</v>
      </c>
      <c r="F90" s="12">
        <v>0.15385391052517378</v>
      </c>
      <c r="G90" s="11">
        <v>0.10914972458729694</v>
      </c>
      <c r="H90" s="12">
        <f t="shared" si="8"/>
        <v>2</v>
      </c>
      <c r="I90" s="11">
        <v>51.453922717771192</v>
      </c>
      <c r="J90" s="12">
        <v>57.676981613005992</v>
      </c>
      <c r="K90" s="11">
        <f t="shared" si="9"/>
        <v>1</v>
      </c>
      <c r="L90" s="12">
        <v>1.0275140352983689</v>
      </c>
      <c r="M90" s="11">
        <v>1.1696429138953108</v>
      </c>
      <c r="N90" s="12">
        <f t="shared" si="10"/>
        <v>1</v>
      </c>
      <c r="O90" s="11">
        <v>1.9121919341285976</v>
      </c>
      <c r="P90" s="12">
        <v>4.1929235848526814</v>
      </c>
      <c r="Q90" s="11">
        <f t="shared" si="11"/>
        <v>1</v>
      </c>
      <c r="R90" s="12">
        <v>0.5305334183090703</v>
      </c>
      <c r="S90" s="11">
        <v>0.47211094830234662</v>
      </c>
      <c r="T90" s="12">
        <f t="shared" si="12"/>
        <v>2</v>
      </c>
      <c r="U90" s="11">
        <v>0.14430581054039149</v>
      </c>
      <c r="V90" s="12">
        <v>0.21818133248459365</v>
      </c>
      <c r="W90" s="11">
        <f t="shared" si="13"/>
        <v>1</v>
      </c>
      <c r="X90" s="12">
        <v>0.85429999999999995</v>
      </c>
      <c r="Y90" s="11">
        <v>0.93</v>
      </c>
      <c r="Z90" s="12">
        <v>3</v>
      </c>
      <c r="AA90" s="11" t="s">
        <v>30</v>
      </c>
    </row>
    <row r="91" spans="1:27" ht="15.75" customHeight="1" x14ac:dyDescent="0.25">
      <c r="A91" s="4">
        <v>2025</v>
      </c>
      <c r="B91" s="4" t="s">
        <v>29</v>
      </c>
      <c r="C91" s="9">
        <v>0.22341641616704327</v>
      </c>
      <c r="D91" s="10">
        <v>0.20219377956360551</v>
      </c>
      <c r="E91" s="9">
        <f t="shared" si="7"/>
        <v>2</v>
      </c>
      <c r="F91" s="10">
        <v>0.4535742610228114</v>
      </c>
      <c r="G91" s="9">
        <v>0.48448777763768963</v>
      </c>
      <c r="H91" s="10">
        <f t="shared" si="8"/>
        <v>1</v>
      </c>
      <c r="I91" s="9">
        <v>7.6546175183374272</v>
      </c>
      <c r="J91" s="10">
        <v>3.6302719700276187</v>
      </c>
      <c r="K91" s="9">
        <f t="shared" si="9"/>
        <v>2</v>
      </c>
      <c r="L91" s="10">
        <v>1.0356189099421125</v>
      </c>
      <c r="M91" s="9">
        <v>1.0177313338576166</v>
      </c>
      <c r="N91" s="10">
        <f t="shared" si="10"/>
        <v>2</v>
      </c>
      <c r="O91" s="9">
        <v>0.11850901077031743</v>
      </c>
      <c r="P91" s="10">
        <v>8.3913433648385355E-2</v>
      </c>
      <c r="Q91" s="9">
        <f t="shared" si="11"/>
        <v>2</v>
      </c>
      <c r="R91" s="10">
        <v>0.41499752518402699</v>
      </c>
      <c r="S91" s="9">
        <v>0.38254212251451636</v>
      </c>
      <c r="T91" s="10">
        <f t="shared" si="12"/>
        <v>2</v>
      </c>
      <c r="U91" s="9">
        <v>0.20205611287218567</v>
      </c>
      <c r="V91" s="10">
        <v>0.19707627146273071</v>
      </c>
      <c r="W91" s="9">
        <f t="shared" si="13"/>
        <v>2</v>
      </c>
      <c r="X91" s="10">
        <v>0.75219999999999998</v>
      </c>
      <c r="Y91" s="9">
        <v>0.84</v>
      </c>
      <c r="Z91" s="10">
        <v>2</v>
      </c>
      <c r="AA91" s="9" t="s">
        <v>30</v>
      </c>
    </row>
    <row r="92" spans="1:27" ht="15.75" customHeight="1" x14ac:dyDescent="0.25"/>
    <row r="93" spans="1:27" ht="15.75" customHeight="1" x14ac:dyDescent="0.25"/>
    <row r="94" spans="1:27" ht="15.75" customHeight="1" x14ac:dyDescent="0.25"/>
    <row r="95" spans="1:27" ht="15.75" customHeight="1" x14ac:dyDescent="0.25"/>
    <row r="96" spans="1:2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autoFilter ref="A1:AA91" xr:uid="{00000000-0009-0000-0000-000000000000}">
    <sortState xmlns:xlrd2="http://schemas.microsoft.com/office/spreadsheetml/2017/richdata2" ref="A74:AA91">
      <sortCondition ref="B1:B91"/>
    </sortState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modif_dcc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Telly Anggara Syaputra</cp:lastModifiedBy>
  <dcterms:modified xsi:type="dcterms:W3CDTF">2026-10-05T01:31:44Z</dcterms:modified>
</cp:coreProperties>
</file>